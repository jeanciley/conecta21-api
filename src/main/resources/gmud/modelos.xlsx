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gi.martins\Desktop\Estudos Gmud\"/>
    </mc:Choice>
  </mc:AlternateContent>
  <xr:revisionPtr revIDLastSave="0" documentId="13_ncr:1_{135FC08E-C5D6-4391-A0AB-74BC5958B375}" xr6:coauthVersionLast="47" xr6:coauthVersionMax="47" xr10:uidLastSave="{00000000-0000-0000-0000-000000000000}"/>
  <bookViews>
    <workbookView xWindow="28680" yWindow="-120" windowWidth="29040" windowHeight="15720" tabRatio="838" activeTab="10" xr2:uid="{84E945E9-5E64-4023-A44C-31DA4BF53333}"/>
  </bookViews>
  <sheets>
    <sheet name="GC Tomcat - WSI" sheetId="20" r:id="rId1"/>
    <sheet name="Atualização TASY" sheetId="19" r:id="rId2"/>
    <sheet name="Atualização TASY - Emergencial " sheetId="18" r:id="rId3"/>
    <sheet name="Atualização Certificado TIE" sheetId="9" r:id="rId4"/>
    <sheet name="Atualização Tomcat 9" sheetId="10" r:id="rId5"/>
    <sheet name="Atualização Tomcat Tasy Interfa" sheetId="12" r:id="rId6"/>
    <sheet name="Versão App Manager - Mesmo Tema" sheetId="17" r:id="rId7"/>
    <sheet name="Recurso OCI" sheetId="6" r:id="rId8"/>
    <sheet name="Versão App Manager - Novo tema" sheetId="15" r:id="rId9"/>
    <sheet name="Troca Certificado SSL" sheetId="8" r:id="rId10"/>
    <sheet name="Reinicialização de aplicaçõ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11" l="1"/>
  <c r="P92" i="8"/>
  <c r="P78" i="8"/>
  <c r="P98" i="15"/>
  <c r="P85" i="15"/>
  <c r="P61" i="15"/>
  <c r="P63" i="10"/>
  <c r="P78" i="10"/>
  <c r="P63" i="9"/>
  <c r="P80" i="9"/>
  <c r="P114" i="18"/>
  <c r="P115" i="18"/>
  <c r="P116" i="18"/>
  <c r="P117" i="18"/>
  <c r="P118" i="18"/>
  <c r="P119" i="18"/>
  <c r="P120" i="18"/>
  <c r="P106" i="18"/>
  <c r="P105" i="18"/>
  <c r="P104" i="18"/>
  <c r="P97" i="18"/>
  <c r="P96" i="18"/>
  <c r="P89" i="18"/>
  <c r="P90" i="18"/>
  <c r="P91" i="18"/>
  <c r="P92" i="18"/>
  <c r="P93" i="18"/>
  <c r="P94" i="18"/>
  <c r="P88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67" i="18"/>
  <c r="P68" i="18"/>
  <c r="P69" i="18"/>
  <c r="P70" i="18"/>
  <c r="P95" i="18"/>
  <c r="P98" i="18"/>
  <c r="P107" i="18"/>
  <c r="P108" i="18"/>
  <c r="P121" i="18"/>
  <c r="P122" i="18"/>
  <c r="M123" i="18"/>
  <c r="P95" i="19"/>
  <c r="P97" i="19"/>
  <c r="P106" i="19"/>
  <c r="P107" i="19"/>
  <c r="P120" i="19"/>
  <c r="P121" i="19"/>
  <c r="M122" i="19"/>
  <c r="P69" i="19"/>
  <c r="P70" i="19"/>
  <c r="P71" i="19"/>
  <c r="P101" i="11"/>
  <c r="P102" i="11"/>
  <c r="P103" i="11"/>
  <c r="P104" i="11"/>
  <c r="P105" i="11"/>
  <c r="P90" i="11"/>
  <c r="P91" i="11"/>
  <c r="P74" i="11"/>
  <c r="P75" i="11"/>
  <c r="P76" i="11"/>
  <c r="P77" i="11"/>
  <c r="P62" i="11"/>
  <c r="P63" i="11"/>
  <c r="P105" i="8"/>
  <c r="P101" i="8"/>
  <c r="P102" i="8"/>
  <c r="P103" i="8"/>
  <c r="P104" i="8"/>
  <c r="P90" i="8"/>
  <c r="P91" i="8"/>
  <c r="P74" i="8"/>
  <c r="P75" i="8"/>
  <c r="P76" i="8"/>
  <c r="P77" i="8"/>
  <c r="P62" i="8"/>
  <c r="P63" i="8"/>
  <c r="P104" i="15"/>
  <c r="P93" i="15"/>
  <c r="P94" i="15"/>
  <c r="P95" i="15"/>
  <c r="P96" i="15"/>
  <c r="P97" i="15"/>
  <c r="P86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58" i="15"/>
  <c r="P59" i="15"/>
  <c r="P60" i="15"/>
  <c r="P101" i="6"/>
  <c r="P90" i="6"/>
  <c r="P74" i="6"/>
  <c r="P62" i="6"/>
  <c r="P63" i="6"/>
  <c r="P79" i="17"/>
  <c r="P72" i="17"/>
  <c r="P66" i="17"/>
  <c r="P67" i="17"/>
  <c r="P68" i="17"/>
  <c r="P69" i="17"/>
  <c r="P70" i="17"/>
  <c r="P58" i="17"/>
  <c r="P59" i="17"/>
  <c r="P60" i="17"/>
  <c r="P90" i="12"/>
  <c r="P63" i="12"/>
  <c r="P62" i="12"/>
  <c r="P74" i="12"/>
  <c r="P101" i="10"/>
  <c r="P102" i="10"/>
  <c r="P103" i="10"/>
  <c r="P90" i="10"/>
  <c r="P62" i="10"/>
  <c r="P75" i="10"/>
  <c r="P76" i="10"/>
  <c r="P77" i="10"/>
  <c r="P74" i="10"/>
  <c r="P90" i="9"/>
  <c r="P79" i="9"/>
  <c r="P78" i="9"/>
  <c r="P77" i="9"/>
  <c r="P76" i="9"/>
  <c r="P75" i="9"/>
  <c r="P74" i="9"/>
  <c r="P62" i="9"/>
  <c r="P91" i="19"/>
  <c r="P76" i="19"/>
  <c r="P77" i="19"/>
  <c r="P78" i="19"/>
  <c r="P79" i="19"/>
  <c r="P80" i="19"/>
  <c r="P81" i="19"/>
  <c r="P82" i="19"/>
  <c r="P83" i="19"/>
  <c r="P84" i="19"/>
  <c r="P86" i="19"/>
  <c r="P85" i="19"/>
  <c r="P87" i="19"/>
  <c r="P88" i="19"/>
  <c r="P89" i="19"/>
  <c r="P90" i="19"/>
  <c r="P92" i="19"/>
  <c r="P93" i="19"/>
  <c r="P94" i="19"/>
  <c r="P96" i="19"/>
  <c r="P105" i="19"/>
  <c r="P104" i="19"/>
  <c r="P103" i="19"/>
  <c r="P113" i="19"/>
  <c r="P114" i="19"/>
  <c r="P115" i="19"/>
  <c r="P116" i="19"/>
  <c r="P117" i="19"/>
  <c r="P118" i="19"/>
  <c r="P119" i="19"/>
  <c r="P91" i="20"/>
  <c r="P85" i="20"/>
  <c r="P84" i="20"/>
  <c r="P83" i="20"/>
  <c r="P82" i="20"/>
  <c r="P81" i="20"/>
  <c r="P74" i="20"/>
  <c r="P73" i="20"/>
  <c r="P72" i="20"/>
  <c r="P71" i="20"/>
  <c r="P70" i="20"/>
  <c r="P69" i="20"/>
  <c r="P68" i="20"/>
  <c r="P67" i="20"/>
  <c r="P62" i="20"/>
  <c r="P61" i="20"/>
  <c r="P60" i="20"/>
  <c r="P59" i="20"/>
  <c r="P58" i="20"/>
  <c r="N29" i="11"/>
  <c r="N28" i="11"/>
  <c r="N29" i="8"/>
  <c r="N28" i="8"/>
  <c r="N29" i="15"/>
  <c r="N28" i="15"/>
  <c r="N29" i="6"/>
  <c r="N28" i="6"/>
  <c r="N29" i="17"/>
  <c r="N28" i="17"/>
  <c r="N29" i="12"/>
  <c r="N28" i="12"/>
  <c r="N29" i="10"/>
  <c r="N28" i="10"/>
  <c r="N29" i="9"/>
  <c r="N28" i="9"/>
  <c r="N29" i="18"/>
  <c r="N28" i="18"/>
  <c r="N29" i="19"/>
  <c r="N28" i="19"/>
  <c r="N29" i="20"/>
  <c r="N28" i="20"/>
  <c r="D29" i="11"/>
  <c r="D29" i="8"/>
  <c r="D29" i="15"/>
  <c r="D29" i="6"/>
  <c r="D29" i="17"/>
  <c r="D29" i="12"/>
  <c r="D29" i="10"/>
  <c r="D29" i="9"/>
  <c r="D29" i="18"/>
  <c r="D29" i="19"/>
  <c r="D29" i="20"/>
  <c r="B96" i="20"/>
  <c r="B46" i="20"/>
  <c r="B45" i="20"/>
  <c r="B44" i="20"/>
  <c r="B43" i="20"/>
  <c r="B42" i="20"/>
  <c r="L36" i="20" a="1"/>
  <c r="L35" i="20" a="1"/>
  <c r="L33" i="20" a="1"/>
  <c r="B47" i="19"/>
  <c r="B46" i="19"/>
  <c r="B45" i="19"/>
  <c r="B44" i="19"/>
  <c r="L39" i="19"/>
  <c r="B39" i="19"/>
  <c r="B46" i="18"/>
  <c r="B45" i="18"/>
  <c r="B44" i="18"/>
  <c r="B43" i="18"/>
  <c r="L39" i="18"/>
  <c r="B39" i="18"/>
  <c r="B44" i="17"/>
  <c r="B43" i="17"/>
  <c r="B42" i="17"/>
  <c r="B41" i="17"/>
  <c r="B40" i="17"/>
  <c r="L34" i="17" a="1"/>
  <c r="L33" i="17" a="1"/>
  <c r="B42" i="15"/>
  <c r="B41" i="15"/>
  <c r="B40" i="15"/>
  <c r="B39" i="15"/>
  <c r="B38" i="15"/>
  <c r="L33" i="15" a="1"/>
  <c r="P80" i="12"/>
  <c r="P79" i="12"/>
  <c r="P78" i="12"/>
  <c r="P77" i="12"/>
  <c r="P76" i="12"/>
  <c r="P75" i="12"/>
  <c r="B112" i="12"/>
  <c r="B46" i="12"/>
  <c r="B45" i="12"/>
  <c r="B44" i="12"/>
  <c r="B43" i="12"/>
  <c r="B42" i="12"/>
  <c r="L36" i="12" a="1"/>
  <c r="L35" i="12" a="1"/>
  <c r="L33" i="12" a="1"/>
  <c r="B112" i="11"/>
  <c r="B46" i="11"/>
  <c r="B45" i="11"/>
  <c r="B44" i="11"/>
  <c r="B43" i="11"/>
  <c r="B42" i="11"/>
  <c r="L36" i="11" a="1"/>
  <c r="L35" i="11" a="1"/>
  <c r="L33" i="11" a="1"/>
  <c r="B112" i="10"/>
  <c r="B46" i="10"/>
  <c r="B45" i="10"/>
  <c r="B44" i="10"/>
  <c r="B43" i="10"/>
  <c r="B42" i="10"/>
  <c r="L36" i="10" a="1"/>
  <c r="L35" i="10" a="1"/>
  <c r="L33" i="10" a="1"/>
  <c r="B112" i="9"/>
  <c r="B46" i="9"/>
  <c r="B45" i="9"/>
  <c r="B44" i="9"/>
  <c r="B43" i="9"/>
  <c r="B42" i="9"/>
  <c r="L36" i="9" a="1"/>
  <c r="L35" i="9" a="1"/>
  <c r="L33" i="9" a="1"/>
  <c r="B112" i="8"/>
  <c r="B46" i="8"/>
  <c r="B45" i="8"/>
  <c r="B44" i="8"/>
  <c r="B43" i="8"/>
  <c r="B42" i="8"/>
  <c r="L36" i="8" a="1"/>
  <c r="L35" i="8" a="1"/>
  <c r="L33" i="8" a="1"/>
  <c r="B112" i="6"/>
  <c r="B46" i="6"/>
  <c r="B45" i="6"/>
  <c r="B44" i="6"/>
  <c r="B43" i="6"/>
  <c r="B42" i="6"/>
  <c r="L36" i="6" a="1"/>
  <c r="L35" i="6" a="1"/>
  <c r="L33" i="6" a="1"/>
  <c r="B41" i="12" l="1"/>
  <c r="B40" i="12"/>
  <c r="B40" i="11"/>
  <c r="B41" i="11"/>
  <c r="B40" i="10"/>
  <c r="B41" i="10"/>
  <c r="B40" i="9"/>
  <c r="B41" i="9"/>
  <c r="B41" i="8"/>
  <c r="B40" i="8"/>
  <c r="B41" i="6"/>
  <c r="B40" i="6"/>
  <c r="L36" i="11" l="1"/>
  <c r="L35" i="11"/>
  <c r="L33" i="11"/>
  <c r="L36" i="8"/>
  <c r="L35" i="8"/>
  <c r="L33" i="8"/>
  <c r="L33" i="15"/>
  <c r="L36" i="6"/>
  <c r="L35" i="6"/>
  <c r="L33" i="6"/>
  <c r="L34" i="17"/>
  <c r="L33" i="17"/>
  <c r="L36" i="12"/>
  <c r="L35" i="12"/>
  <c r="L33" i="12"/>
  <c r="L36" i="10"/>
  <c r="L35" i="10"/>
  <c r="L33" i="10"/>
  <c r="L36" i="9"/>
  <c r="L35" i="9"/>
  <c r="L33" i="9"/>
  <c r="L36" i="20"/>
  <c r="L35" i="20"/>
  <c r="L33" i="20"/>
  <c r="B41" i="20" l="1"/>
  <c r="B40" i="2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<sst xmlns="http://schemas.openxmlformats.org/spreadsheetml/2006/main" count="1539" uniqueCount="305">
  <si>
    <t>Nome</t>
  </si>
  <si>
    <t>Telefone</t>
  </si>
  <si>
    <t>47 2111-1743</t>
  </si>
  <si>
    <t>Analista de Infraestrutura</t>
  </si>
  <si>
    <t>Murilo Moraes</t>
  </si>
  <si>
    <t>47 3323-7313</t>
  </si>
  <si>
    <t>Dados da solicitação de mudança</t>
  </si>
  <si>
    <t>Cliente:</t>
  </si>
  <si>
    <t>Data de abertura da solicitação:</t>
  </si>
  <si>
    <t>Solicitante:</t>
  </si>
  <si>
    <t>Dados da mudança</t>
  </si>
  <si>
    <t>Chamado:</t>
  </si>
  <si>
    <t>Classificação:</t>
  </si>
  <si>
    <t>Descrição:</t>
  </si>
  <si>
    <t>Serviços afetados</t>
  </si>
  <si>
    <t>Nome do Serviço</t>
  </si>
  <si>
    <t>Ativo envolvido</t>
  </si>
  <si>
    <t>Informações de Contato</t>
  </si>
  <si>
    <t>Responsável no cliente</t>
  </si>
  <si>
    <t>Nome:</t>
  </si>
  <si>
    <t>Cargo:</t>
  </si>
  <si>
    <t>Telefone:</t>
  </si>
  <si>
    <t>E-mail:</t>
  </si>
  <si>
    <t>Responsável Redix pela execução</t>
  </si>
  <si>
    <t>Dados e requisitos do ambiente</t>
  </si>
  <si>
    <t>Classificação do Ambiente:</t>
  </si>
  <si>
    <t>PRODUÇÃO</t>
  </si>
  <si>
    <t>Sistema Operacional:</t>
  </si>
  <si>
    <t>LINUX</t>
  </si>
  <si>
    <t>Possui backup íntegro?</t>
  </si>
  <si>
    <t>SIM</t>
  </si>
  <si>
    <r>
      <t>Usar comando</t>
    </r>
    <r>
      <rPr>
        <b/>
        <i/>
        <u/>
        <sz val="9"/>
        <color theme="1"/>
        <rFont val="Calibri"/>
        <family val="2"/>
        <scheme val="minor"/>
      </rPr>
      <t xml:space="preserve"> ls -lrth /backup/*app-manager*</t>
    </r>
    <r>
      <rPr>
        <b/>
        <i/>
        <sz val="9"/>
        <color theme="1"/>
        <rFont val="Calibri"/>
        <family val="2"/>
        <scheme val="minor"/>
      </rPr>
      <t xml:space="preserve"> para conferência</t>
    </r>
  </si>
  <si>
    <t>Possui acesso à console do AppManager?</t>
  </si>
  <si>
    <t>NÃO</t>
  </si>
  <si>
    <t>Será necessário intervenção no AppManager</t>
  </si>
  <si>
    <t>Agenda</t>
  </si>
  <si>
    <t>01/01/0001</t>
  </si>
  <si>
    <t>Riscos</t>
  </si>
  <si>
    <t>Riscos Mapeados</t>
  </si>
  <si>
    <t>Probabilidade</t>
  </si>
  <si>
    <t>Impacto</t>
  </si>
  <si>
    <t>Contingência</t>
  </si>
  <si>
    <t>Erro humano</t>
  </si>
  <si>
    <t>BAIXA</t>
  </si>
  <si>
    <t>ALTO</t>
  </si>
  <si>
    <t>Executar plano de volta</t>
  </si>
  <si>
    <t>Atividades do Plano de testes</t>
  </si>
  <si>
    <t>Atividade</t>
  </si>
  <si>
    <t>Tipo</t>
  </si>
  <si>
    <t>Responsável</t>
  </si>
  <si>
    <t>Descrever atividades de teste a serem realizadas pela REDIX</t>
  </si>
  <si>
    <t>OBRIGATÓRIO</t>
  </si>
  <si>
    <t>Descrever atividades de teste a serem realizadas pelo CLIENTE</t>
  </si>
  <si>
    <t>Redix</t>
  </si>
  <si>
    <t>Atividades do Plano de execução</t>
  </si>
  <si>
    <t xml:space="preserve">Atividades que serã executadas para satisfazer a alteração proposta </t>
  </si>
  <si>
    <t>Indisponibilidade</t>
  </si>
  <si>
    <t>Atividades do Plano de volta</t>
  </si>
  <si>
    <t xml:space="preserve">Plano a ser realizado em caso de problemas com o ambiente que não estava previsto na mudança.
Exemplo: Falha de Hardware, BUG de versão do AppManager, BUG no deploy das instâncias. </t>
  </si>
  <si>
    <t>Tempo</t>
  </si>
  <si>
    <t>Descrever os passos do plano de volta</t>
  </si>
  <si>
    <t>Atividades do Disaster Recovery</t>
  </si>
  <si>
    <t>Plano a ser realizado em caso de perca total do ambiente não prevista na mudança</t>
  </si>
  <si>
    <t>Descrever os passos do plano de disaster recovery</t>
  </si>
  <si>
    <t>Plano de escalonamento em caso de problemas</t>
  </si>
  <si>
    <t>Função</t>
  </si>
  <si>
    <t>Empresa</t>
  </si>
  <si>
    <t>Wilson Kempim Jr.</t>
  </si>
  <si>
    <t>Lider de célula</t>
  </si>
  <si>
    <t>Charles Moro</t>
  </si>
  <si>
    <t>Lider de Sustentação</t>
  </si>
  <si>
    <t>Anexos</t>
  </si>
  <si>
    <t>Evidencia da configuração dos hosts</t>
  </si>
  <si>
    <t>Print de confirmação dos backups</t>
  </si>
  <si>
    <t>Aprovador</t>
  </si>
  <si>
    <t>Aprovação</t>
  </si>
  <si>
    <t>Líder de célula</t>
  </si>
  <si>
    <t>Falha na inicialziação do Tomcat</t>
  </si>
  <si>
    <t>Falha nas integrações pós restart</t>
  </si>
  <si>
    <t>Acioananamento suporte dos sistemas</t>
  </si>
  <si>
    <t>Configuração do JDK de acordo com a versão atual do Java</t>
  </si>
  <si>
    <t>Alterar o parametro JAVA_HOME no arquivo setenv do Tomcat</t>
  </si>
  <si>
    <t>Configurar o arquivo run_gc.sh no Tomcat</t>
  </si>
  <si>
    <t>Criar agendamento na cron do servidor para execução do GC</t>
  </si>
  <si>
    <t>Acompanhar monitoramento da memória JVM no Sentinela</t>
  </si>
  <si>
    <t>Realizar o download do JDK de acordo com a versão atual do Java</t>
  </si>
  <si>
    <t>Realizar backup do arquivo setenv.sh antes de alterar o JAVA_HOME</t>
  </si>
  <si>
    <t>Alterar o parametro JAVA_HOME no arquivo setenv do Tomcat para o caminho do JDK</t>
  </si>
  <si>
    <t>Realizar o download e configuração do script run_gc.sh no diretorio bin do Tomcat</t>
  </si>
  <si>
    <t>Realizar o restart do Tomcat usando o systemd</t>
  </si>
  <si>
    <t>Acompanhar o log catalina.out usando o tail para validar a inicialização completa do Tomcat</t>
  </si>
  <si>
    <t>Criar o agendamento de execução do Tomcat GC na cron do servidor</t>
  </si>
  <si>
    <t>Acompanhar através do Sentinela as ações tomadas e uso de memória JVM</t>
  </si>
  <si>
    <t>Efetuar a parada do Tomcat usando o systemd para voltar a configuração original do JAVA_HOME</t>
  </si>
  <si>
    <t>Realizar rollback do arquivo setenv.sh do Tomcat</t>
  </si>
  <si>
    <t>Inicializar o Tomcat usando o systemd</t>
  </si>
  <si>
    <t>Validar a inicialização completa do Tomcat pós rollback</t>
  </si>
  <si>
    <t>Acionar suporte das integrações em caso de falhas</t>
  </si>
  <si>
    <t>Cliente</t>
  </si>
  <si>
    <t>Acionar suporte Bionexo e demais integrações para resolução</t>
  </si>
  <si>
    <t>PROGRAMADA</t>
  </si>
  <si>
    <r>
      <t xml:space="preserve">Atualização do sistema TASY - </t>
    </r>
    <r>
      <rPr>
        <sz val="11"/>
        <color rgb="FFFF0000"/>
        <rFont val="Calibri"/>
        <family val="2"/>
        <scheme val="minor"/>
      </rPr>
      <t>Versão X | SP X</t>
    </r>
  </si>
  <si>
    <t>Tasy - Philips AppManager</t>
  </si>
  <si>
    <t>Nome do ativo no monitoramento</t>
  </si>
  <si>
    <t>Tomcat - Integração WSI</t>
  </si>
  <si>
    <t>TIE - Integração</t>
  </si>
  <si>
    <t>Tomcat - Portal Plano de Saúde</t>
  </si>
  <si>
    <t>Oracle - Banco de dados produtivo</t>
  </si>
  <si>
    <t>Responsável Redix - Time de Aplicação</t>
  </si>
  <si>
    <t>Responsável Redix - Time de Banco de Dados</t>
  </si>
  <si>
    <t>Possui integração WSI ?</t>
  </si>
  <si>
    <t>Equipe Redix pussui acesso à console AppManager</t>
  </si>
  <si>
    <t>Possui integração TIE ?</t>
  </si>
  <si>
    <t>Possui backup íntegro do banco de dados?</t>
  </si>
  <si>
    <t>Possui Dataguard ou Standby ?</t>
  </si>
  <si>
    <t>EVIDENCIAS DO ACESSO AO APPAMANGER E INTEGRAÇÕES NO CAMPO "Evidências do Ambiente"</t>
  </si>
  <si>
    <t>Data de início:</t>
  </si>
  <si>
    <t>xx/xx/xxxx</t>
  </si>
  <si>
    <t>xx:xx:xx</t>
  </si>
  <si>
    <t>Tempo total para plano de DR:</t>
  </si>
  <si>
    <t>Riscos mapeados inerentes à execução do processo</t>
  </si>
  <si>
    <t>Indisponibilidade da versão ou SP solitado para aplicação no banco</t>
  </si>
  <si>
    <t>MÉDIA</t>
  </si>
  <si>
    <t>Abortar a execução do processo</t>
  </si>
  <si>
    <t>Indisponibilidade das imagens docker na versão ou SP solicitado</t>
  </si>
  <si>
    <t>Erro humano relacionado ao procedimento técnico</t>
  </si>
  <si>
    <t>Executar plano de DR</t>
  </si>
  <si>
    <t>Erro humano relacionado ao cumprimento da agenda</t>
  </si>
  <si>
    <t>Exectar o procedimento de Scalation</t>
  </si>
  <si>
    <t>Inconsistência no processo de aplicação da versão ou SP solicitado</t>
  </si>
  <si>
    <t>Lentidão excessiva inviabilizando as rotinas da aplicação</t>
  </si>
  <si>
    <t>ALTA</t>
  </si>
  <si>
    <t>Acionamento do suporte Bionexo</t>
  </si>
  <si>
    <t>Erros nas integrações com o sistema</t>
  </si>
  <si>
    <t>Erros não identificados por falta de homologação</t>
  </si>
  <si>
    <t>Objetos inválidos pós atualização</t>
  </si>
  <si>
    <r>
      <t xml:space="preserve">Inconsistências diversas pós atualização, podendo ser:
</t>
    </r>
    <r>
      <rPr>
        <b/>
        <i/>
        <sz val="8"/>
        <color theme="1"/>
        <rFont val="Calibri"/>
        <family val="2"/>
        <scheme val="minor"/>
      </rPr>
      <t>- Erro nas rotinas internas
- Erro na impressão de relatórios
- Erro no processo de assinatura digital
- Erro no anexo de arquivos
- Erro no processo de login</t>
    </r>
  </si>
  <si>
    <t>Atividades que serão executadas para validar a alteração proposta</t>
  </si>
  <si>
    <t>Validar aplicação da versão ou SP no banco</t>
  </si>
  <si>
    <t>Equipe Redix</t>
  </si>
  <si>
    <t>Validar acesso ao sistema Tasy</t>
  </si>
  <si>
    <t>Validar impressões de relatórios</t>
  </si>
  <si>
    <t xml:space="preserve"> </t>
  </si>
  <si>
    <t>Validar principais rotinas ( Entrada única, PEP, dentre outras )</t>
  </si>
  <si>
    <t xml:space="preserve">Atividades que serão executadas para satisfazer a alteração proposta </t>
  </si>
  <si>
    <t>Confirmar disponibilidade da versão ou SP solicitado pelo cliente</t>
  </si>
  <si>
    <r>
      <t xml:space="preserve">Criar documento </t>
    </r>
    <r>
      <rPr>
        <b/>
        <i/>
        <sz val="10"/>
        <color theme="1"/>
        <rFont val="Calibri"/>
        <family val="2"/>
        <scheme val="minor"/>
      </rPr>
      <t>Relatório de atividades - Atualização Tasy</t>
    </r>
  </si>
  <si>
    <t>Confirmar último backup executado no ambiente e dispobilidade do ambiente DR/Standby</t>
  </si>
  <si>
    <t>Realizar o download da versão ou SP solicitado no Container de Update do Tasy</t>
  </si>
  <si>
    <r>
      <t xml:space="preserve">Realizar o download da versão ou SP solicitado dos deploys do Tomcat - </t>
    </r>
    <r>
      <rPr>
        <b/>
        <i/>
        <sz val="10"/>
        <color theme="1"/>
        <rFont val="Calibri"/>
        <family val="2"/>
        <scheme val="minor"/>
      </rPr>
      <t>Anexado ao chamado de origem desta demanda</t>
    </r>
  </si>
  <si>
    <t>Gerar evidência da quantidade de instancias e versão por host do AppManager</t>
  </si>
  <si>
    <r>
      <t xml:space="preserve">Baixar as instancias do TASY - </t>
    </r>
    <r>
      <rPr>
        <b/>
        <i/>
        <sz val="10"/>
        <color theme="1"/>
        <rFont val="Calibri"/>
        <family val="2"/>
        <scheme val="minor"/>
      </rPr>
      <t>StopAll para os containers do AppManager</t>
    </r>
  </si>
  <si>
    <r>
      <t xml:space="preserve">Baixar os serviços de integração:
</t>
    </r>
    <r>
      <rPr>
        <b/>
        <i/>
        <sz val="10"/>
        <color theme="1"/>
        <rFont val="Calibri"/>
        <family val="2"/>
        <scheme val="minor"/>
      </rPr>
      <t xml:space="preserve">TIE - Parada do serviço do Tasy Interfaces - </t>
    </r>
    <r>
      <rPr>
        <b/>
        <i/>
        <sz val="10"/>
        <color rgb="FFFF0000"/>
        <rFont val="Calibri"/>
        <family val="2"/>
        <scheme val="minor"/>
      </rPr>
      <t>Servidor 1.1.1.2 - Tomcat /opt/tomcat_tasyinterfaces - Porta 8089</t>
    </r>
    <r>
      <rPr>
        <b/>
        <i/>
        <sz val="10"/>
        <color theme="1"/>
        <rFont val="Calibri"/>
        <family val="2"/>
        <scheme val="minor"/>
      </rPr>
      <t xml:space="preserve">
Tomcat - Parada dos serviços do Tomcat Integração - </t>
    </r>
    <r>
      <rPr>
        <b/>
        <i/>
        <sz val="10"/>
        <color rgb="FFFF0000"/>
        <rFont val="Calibri"/>
        <family val="2"/>
        <scheme val="minor"/>
      </rPr>
      <t>Servidor 1.1.1.2 - Tomcat /opt/tomcat_tasyinterfaces - Porta 8089</t>
    </r>
  </si>
  <si>
    <t>Evidenciar execução dos processo de pré atualização</t>
  </si>
  <si>
    <r>
      <t xml:space="preserve">Iniciar o processo de Prepare-Update - </t>
    </r>
    <r>
      <rPr>
        <b/>
        <i/>
        <sz val="10"/>
        <color theme="1"/>
        <rFont val="Calibri"/>
        <family val="2"/>
        <scheme val="minor"/>
      </rPr>
      <t>Quando aplicável</t>
    </r>
  </si>
  <si>
    <r>
      <t xml:space="preserve">Iniciar o processo de Aplicação do SP - </t>
    </r>
    <r>
      <rPr>
        <b/>
        <i/>
        <sz val="10"/>
        <color theme="1"/>
        <rFont val="Calibri"/>
        <family val="2"/>
        <scheme val="minor"/>
      </rPr>
      <t>Quando aplicável</t>
    </r>
  </si>
  <si>
    <t>Evidenciar o término do processo de atualização</t>
  </si>
  <si>
    <r>
      <t>Remover imagens da antiga versão</t>
    </r>
    <r>
      <rPr>
        <sz val="10"/>
        <color rgb="FFFF0000"/>
        <rFont val="Calibri"/>
        <family val="2"/>
        <scheme val="minor"/>
      </rPr>
      <t xml:space="preserve"> </t>
    </r>
    <r>
      <rPr>
        <b/>
        <i/>
        <sz val="10"/>
        <color rgb="FFFF0000"/>
        <rFont val="Calibri"/>
        <family val="2"/>
        <scheme val="minor"/>
      </rPr>
      <t>5.05.1845 - SP 81</t>
    </r>
  </si>
  <si>
    <r>
      <t>Adcionar imagens da nova versão</t>
    </r>
    <r>
      <rPr>
        <sz val="10"/>
        <color rgb="FFFF0000"/>
        <rFont val="Calibri"/>
        <family val="2"/>
        <scheme val="minor"/>
      </rPr>
      <t xml:space="preserve"> </t>
    </r>
    <r>
      <rPr>
        <b/>
        <i/>
        <sz val="10"/>
        <color rgb="FFFF0000"/>
        <rFont val="Calibri"/>
        <family val="2"/>
        <scheme val="minor"/>
      </rPr>
      <t>5.05.1845 - SP 8</t>
    </r>
    <r>
      <rPr>
        <b/>
        <sz val="10"/>
        <color rgb="FFFF0000"/>
        <rFont val="Calibri"/>
        <family val="2"/>
        <scheme val="minor"/>
      </rPr>
      <t>8</t>
    </r>
  </si>
  <si>
    <t>Evidenciar o dowload das imagens</t>
  </si>
  <si>
    <r>
      <t xml:space="preserve">Alterar artefatos nos servidores de integração, contemplando os seguintes artefatos:
</t>
    </r>
    <r>
      <rPr>
        <b/>
        <i/>
        <sz val="10"/>
        <color rgb="FFFF0000"/>
        <rFont val="Calibri"/>
        <family val="2"/>
        <scheme val="minor"/>
      </rPr>
      <t>Servidor 1.1.1.1 - Tomcat /opt/tomcat_integração - Porta 8080:
Alterar Artefatos: WhebServidorIntegração | WhebWS | PalmWeb
Servidor 1.1.1.2 - Tomcat /opt/tomcat_integração - Porta 8081:
Alterar Artefatos: WhebServidorIntegração | WhebWS | PalmWeb</t>
    </r>
  </si>
  <si>
    <t>Iniciar servidores de integração com os novos artefatos</t>
  </si>
  <si>
    <t>Iniciar novas imagens baixadas no AppManager</t>
  </si>
  <si>
    <t>Acionar o cliente para validação do ambiente</t>
  </si>
  <si>
    <r>
      <t xml:space="preserve">Executar processo de validação do ambiente, contemplando, minimamente:
</t>
    </r>
    <r>
      <rPr>
        <b/>
        <sz val="10"/>
        <color theme="1"/>
        <rFont val="Calibri"/>
        <family val="2"/>
        <scheme val="minor"/>
      </rPr>
      <t>- Rotinas mais usadas no sistema
- Impressão de relatórios
- Principais integrações</t>
    </r>
  </si>
  <si>
    <t>Gerar evidências pós atualização</t>
  </si>
  <si>
    <t>Concluir a validação do sistema e decretar o encerramento da janela de manutenção</t>
  </si>
  <si>
    <t>Atividades do Plano de correção</t>
  </si>
  <si>
    <t>Plano a ser realizado em caso de problemas com o ambiente que não estava previsto na mudança.</t>
  </si>
  <si>
    <t>Avaliar o erro reportado pelo cliente</t>
  </si>
  <si>
    <t>Decretar se é possível a correção pelo analistas REDIX envolvidos no processo</t>
  </si>
  <si>
    <t>Aplicar correção, caso possível</t>
  </si>
  <si>
    <t>Caso a correção não seja possível pelo Time Redix - Acionar suporte Bionexo</t>
  </si>
  <si>
    <t>Caso a correção não seja possível pelo suporte Bionexo - Acionar o plano de DR</t>
  </si>
  <si>
    <t>Plano a ser realizado em caso do plano de correção não ser possível.</t>
  </si>
  <si>
    <t>Executar o scalation da situação para a liderança nas respectivas células</t>
  </si>
  <si>
    <r>
      <t xml:space="preserve">Iniciar o processo de parada de todos os serviço do ambiente Tasy:
</t>
    </r>
    <r>
      <rPr>
        <b/>
        <sz val="10"/>
        <color theme="1"/>
        <rFont val="Calibri"/>
        <family val="2"/>
        <scheme val="minor"/>
      </rPr>
      <t>- Parada total das instancias do AppManager
- Parada total dos serviços de integração</t>
    </r>
  </si>
  <si>
    <t>Iniciar o processo de restore do banco de dados e disponibilizar o banco para rollback da aplicação</t>
  </si>
  <si>
    <t>Realizar o download das imagens na versão restaurada no AppManager</t>
  </si>
  <si>
    <t>Realizar o download|rollback dos artefados de integração ( Tomcat e TIE )</t>
  </si>
  <si>
    <t>Iniciar a aplicação na versão restaurada - AppManager</t>
  </si>
  <si>
    <t>Iniciar servidores de integração</t>
  </si>
  <si>
    <t>Efetuar a validação completa do ambiente</t>
  </si>
  <si>
    <t>Decreta a validação do ambiente concluída com sucesso</t>
  </si>
  <si>
    <t>Encerra o processo de DR</t>
  </si>
  <si>
    <t>Evidências do Ambiente</t>
  </si>
  <si>
    <t>Evidências de acesso ao ambiente e serviços em execução</t>
  </si>
  <si>
    <t>Evidenciar:
- Acesso à console do AppManager
- Execução dos Tomcats que serão atualizados</t>
  </si>
  <si>
    <t>Wilson Kempim Júnior</t>
  </si>
  <si>
    <t>Tech Lead - Time de Aplicação</t>
  </si>
  <si>
    <t>47 2111 1743</t>
  </si>
  <si>
    <t>Head Infraestruture</t>
  </si>
  <si>
    <t>EMERGENCIAL</t>
  </si>
  <si>
    <r>
      <t xml:space="preserve">Atualização emergencial do sistema TASY - </t>
    </r>
    <r>
      <rPr>
        <sz val="11"/>
        <color rgb="FFFF0000"/>
        <rFont val="Calibri"/>
        <family val="2"/>
        <scheme val="minor"/>
      </rPr>
      <t>Versão X | SP X</t>
    </r>
  </si>
  <si>
    <t>Gerente de Sistemas ou Gerente de TI</t>
  </si>
  <si>
    <r>
      <t xml:space="preserve">Executar processo pré atualização:
</t>
    </r>
    <r>
      <rPr>
        <b/>
        <i/>
        <sz val="10"/>
        <color theme="1"/>
        <rFont val="Calibri"/>
        <family val="2"/>
        <scheme val="minor"/>
      </rPr>
      <t>1.	Bloqueio dos usuários no Tasy (Aplicação)
2.	Realizar parada do banco (Jobs, Dataguard, Ponto de restauração, etc)</t>
    </r>
  </si>
  <si>
    <r>
      <t xml:space="preserve">Baixar os serviços de integração:
</t>
    </r>
    <r>
      <rPr>
        <b/>
        <i/>
        <sz val="10"/>
        <color theme="1"/>
        <rFont val="Calibri"/>
        <family val="2"/>
        <scheme val="minor"/>
      </rPr>
      <t>TIE - Parada do serviço do Tasy Interfaces
Tomcat - Parada dos serviços do Tomcat Integração</t>
    </r>
  </si>
  <si>
    <t>Remover imagens da antiga versão e aplicar àquelas que correspondem à versão solicitada pelo cliente</t>
  </si>
  <si>
    <t>Alterar artefatos nos servidores de integração</t>
  </si>
  <si>
    <r>
      <t xml:space="preserve">Executar processo pós atualização:
</t>
    </r>
    <r>
      <rPr>
        <b/>
        <i/>
        <sz val="10"/>
        <color theme="1"/>
        <rFont val="Calibri"/>
        <family val="2"/>
        <scheme val="minor"/>
      </rPr>
      <t>1 - Ativar Jobs
2 - Habilitar sessões no banco de dados</t>
    </r>
  </si>
  <si>
    <r>
      <t xml:space="preserve">Concluir o processo contido pós atualização:
</t>
    </r>
    <r>
      <rPr>
        <b/>
        <i/>
        <sz val="10"/>
        <color theme="1"/>
        <rFont val="Calibri"/>
        <family val="2"/>
        <scheme val="minor"/>
      </rPr>
      <t>1 - Ativar sincronismo do dataguard/Standby
2 - Remover ponto de restore</t>
    </r>
  </si>
  <si>
    <t>Validar a ativação dos serviços TIE e Tomcat Tasy Interfaces</t>
  </si>
  <si>
    <t>Validar o funcionamento do TIE com a troca do certificado</t>
  </si>
  <si>
    <t>Validar o certificado e senha repassado pelo cliente</t>
  </si>
  <si>
    <t>Realizar parada do Tomcat Tasy Interfaces e TIE</t>
  </si>
  <si>
    <t>Realizar backup do certificado atual no diretório /opt/philips/tie/volumes/network-shared-folder/</t>
  </si>
  <si>
    <t>Realizar a atualização do certificado</t>
  </si>
  <si>
    <t>Limpar os temporários do Tomcat Tasy Interfaces</t>
  </si>
  <si>
    <t>Iniciar os serviços Tomcat Tasy Interfaces e TIE</t>
  </si>
  <si>
    <t>Validar o funcionamento do TIE com o certificado atualizado</t>
  </si>
  <si>
    <t>Utilizar o certificado do backup e reiniciar os serviços</t>
  </si>
  <si>
    <t>Não se aplica</t>
  </si>
  <si>
    <t>Inserir evidência do certificado atual</t>
  </si>
  <si>
    <t>Atualização Versão Tomcat</t>
  </si>
  <si>
    <t>Validar a ativação dos serviços Tomcat</t>
  </si>
  <si>
    <t>Validar o funcionamento do Tomcat</t>
  </si>
  <si>
    <t>Realizar a parada do Tomcat</t>
  </si>
  <si>
    <t>Realizar backup do diretório /opt/tomcat*</t>
  </si>
  <si>
    <t>Executar ansible para fazer deploy do novo Tomcat na versão 9</t>
  </si>
  <si>
    <t>Validar a execução do ansible e inciar o serviço Tomcat</t>
  </si>
  <si>
    <t>Restore do backup</t>
  </si>
  <si>
    <t xml:space="preserve">Criar um novo servidor </t>
  </si>
  <si>
    <t>Utilizar o backup no novo servidor</t>
  </si>
  <si>
    <t>Iniciar o servidor e validar as aplicações</t>
  </si>
  <si>
    <t>Atualização Tomcat Tasy Interfaces</t>
  </si>
  <si>
    <t>Analista</t>
  </si>
  <si>
    <t>Validar o funcionamento do TIE</t>
  </si>
  <si>
    <t>Validar o deploy atual do Tomcat Tasy Interfaces no caminho  /opt/tomcat_tasyinterface/webapps/tasy-interfaces.war</t>
  </si>
  <si>
    <t>Realizar backup do deploy atual do Tomcat Tasy Interfaces</t>
  </si>
  <si>
    <t>Realizar a atualização do deploy tasy-interfaces.war</t>
  </si>
  <si>
    <t xml:space="preserve">Validar o funcionamento do TIE </t>
  </si>
  <si>
    <t>Utilizar o deploy de backup para reiniciar o serviço</t>
  </si>
  <si>
    <t>Data da execução:</t>
  </si>
  <si>
    <t>horário da execução:</t>
  </si>
  <si>
    <t>-</t>
  </si>
  <si>
    <t>Serviço do AppManager não iniciar corretamente</t>
  </si>
  <si>
    <t>Instancias não serem registradas no Haproxy</t>
  </si>
  <si>
    <t>Containers da Aplicação sofrerem um restart</t>
  </si>
  <si>
    <t>Confirmar a versão do serviço aplicada nos servidores</t>
  </si>
  <si>
    <t>Confirmar o acesso ao App Manager via navegador</t>
  </si>
  <si>
    <t>Confirmar o registro das instâncias no arquivo haproxy.cfg</t>
  </si>
  <si>
    <t>Aplicar manutenção nos servidores afetados</t>
  </si>
  <si>
    <r>
      <t xml:space="preserve">Realizar a atualização do App Manager nos servidores com o comando:
</t>
    </r>
    <r>
      <rPr>
        <b/>
        <i/>
        <sz val="10"/>
        <color theme="1"/>
        <rFont val="Calibri"/>
        <family val="2"/>
        <scheme val="minor"/>
      </rPr>
      <t>dnf update philips-app-manager -y</t>
    </r>
  </si>
  <si>
    <t>Confirmar a mudança para a nova versão nos servidores</t>
  </si>
  <si>
    <t>Realizar o teste de acesso ao App Manager via navegador</t>
  </si>
  <si>
    <t>Verificar as instâncias no Haproxy</t>
  </si>
  <si>
    <t>Fazer o teste de acesso e funcionamento do Tasy e demais aplicações</t>
  </si>
  <si>
    <t>Equipe cliente</t>
  </si>
  <si>
    <t>Remover manutenção nos servidores afetados</t>
  </si>
  <si>
    <t>Realizar o downgrade da versão do serviço do App Manager</t>
  </si>
  <si>
    <t>APROVADO</t>
  </si>
  <si>
    <t>Data de ínicio:</t>
  </si>
  <si>
    <t>Erro no registro das instancias no Haproxy</t>
  </si>
  <si>
    <t>Erro em funções do TASY</t>
  </si>
  <si>
    <t>Erro no download das imagens</t>
  </si>
  <si>
    <t>Erro humano na execução do processo</t>
  </si>
  <si>
    <t>Validar o registro das instancias no backend do Haproxy</t>
  </si>
  <si>
    <t>Validar o acesso ao Tasy com as instancias já iniciadas</t>
  </si>
  <si>
    <t>Validar impressão de relatórios</t>
  </si>
  <si>
    <t>Validar as principais integrações do ambiente</t>
  </si>
  <si>
    <t>Solicitar ao cliente um Snapshot de todas as VMs do Cluster Tasy</t>
  </si>
  <si>
    <r>
      <t xml:space="preserve">Validar com o cliente as credenciais de rede usadas pelos portais para armazenamento dos arquivos temporários - </t>
    </r>
    <r>
      <rPr>
        <b/>
        <i/>
        <sz val="10"/>
        <color theme="1"/>
        <rFont val="Calibri"/>
        <family val="2"/>
        <scheme val="minor"/>
      </rPr>
      <t>Caso aplicável</t>
    </r>
  </si>
  <si>
    <t>Validar com o cliente o DNS que será usado para o container de Update</t>
  </si>
  <si>
    <r>
      <t xml:space="preserve">Realizar um backup das configurações das seguintes telas do AppManager:
</t>
    </r>
    <r>
      <rPr>
        <b/>
        <i/>
        <sz val="10"/>
        <color theme="1"/>
        <rFont val="Calibri"/>
        <family val="2"/>
        <scheme val="minor"/>
      </rPr>
      <t>- Config &gt; Acessibility &gt; Tasy Java 
- Config &gt; Acessibility &gt; Tasy HTML5
- Config &gt; Acessibility &gt; Tasy Reports
- Config &gt; Acessibility &gt; Tasy Scheduler Web - Caso aplicável
- Config &gt; Acessibility &gt; Health Professional - Caso aplicável
- Config &gt; Acessibility &gt; Patient - Caso aplicável
- Config &gt; Acessibility &gt; Results Portal - Caso aplicável</t>
    </r>
  </si>
  <si>
    <r>
      <t xml:space="preserve">Parar todas as images Docker - </t>
    </r>
    <r>
      <rPr>
        <b/>
        <i/>
        <sz val="10"/>
        <color theme="1"/>
        <rFont val="Calibri"/>
        <family val="2"/>
        <scheme val="minor"/>
      </rPr>
      <t>Stop All na Console</t>
    </r>
  </si>
  <si>
    <r>
      <t xml:space="preserve">Realizar a atualização do AppManager no Linux para a última versão disponível:
</t>
    </r>
    <r>
      <rPr>
        <i/>
        <sz val="10"/>
        <color theme="1"/>
        <rFont val="Calibri"/>
        <family val="2"/>
        <scheme val="minor"/>
      </rPr>
      <t>Em todos os Linux do cluster executar:</t>
    </r>
    <r>
      <rPr>
        <sz val="10"/>
        <color theme="1"/>
        <rFont val="Calibri"/>
        <family val="2"/>
        <scheme val="minor"/>
      </rPr>
      <t xml:space="preserve"> </t>
    </r>
    <r>
      <rPr>
        <b/>
        <i/>
        <sz val="10"/>
        <color theme="1"/>
        <rFont val="Calibri"/>
        <family val="2"/>
        <scheme val="minor"/>
      </rPr>
      <t>dnf update philips-app-manager -y</t>
    </r>
  </si>
  <si>
    <t>Validar a versão do AppManager aplicada na interface</t>
  </si>
  <si>
    <t>Remover imagens Docker de todos os hosts no tema antigo</t>
  </si>
  <si>
    <t>Adicionar imagens Docker em todos os hosts no novo tema preservando quantidade, Versão e SP</t>
  </si>
  <si>
    <r>
      <t xml:space="preserve">Adicionar DNS do container de update à configuração do AppManager:
- </t>
    </r>
    <r>
      <rPr>
        <b/>
        <i/>
        <sz val="10"/>
        <color theme="1"/>
        <rFont val="Calibri"/>
        <family val="2"/>
        <scheme val="minor"/>
      </rPr>
      <t>High Availaibility &gt; Add Another</t>
    </r>
  </si>
  <si>
    <r>
      <t xml:space="preserve">Adicionar configurações do TIE para comunicação com o Tasy ( </t>
    </r>
    <r>
      <rPr>
        <b/>
        <i/>
        <sz val="10"/>
        <color theme="1"/>
        <rFont val="Calibri"/>
        <family val="2"/>
        <scheme val="minor"/>
      </rPr>
      <t>Caso aplicável)</t>
    </r>
    <r>
      <rPr>
        <sz val="10"/>
        <color theme="1"/>
        <rFont val="Calibri"/>
        <family val="2"/>
        <scheme val="minor"/>
      </rPr>
      <t xml:space="preserve">:
- </t>
    </r>
    <r>
      <rPr>
        <b/>
        <i/>
        <sz val="10"/>
        <color theme="1"/>
        <rFont val="Calibri"/>
        <family val="2"/>
        <scheme val="minor"/>
      </rPr>
      <t>General &gt; General Settings 
Event Url: http://ip-tie:9090/bifrost/events
Tasy Url: http://ip-tie:9090/tasy</t>
    </r>
  </si>
  <si>
    <t>Replicar configurações coletadas na antiga versão da console</t>
  </si>
  <si>
    <r>
      <t xml:space="preserve">Ajustar a memória alocada nas instâncias do AppServer e do Reports </t>
    </r>
    <r>
      <rPr>
        <b/>
        <i/>
        <sz val="10"/>
        <color theme="1"/>
        <rFont val="Calibri"/>
        <family val="2"/>
        <scheme val="minor"/>
      </rPr>
      <t>- Mínimo 2,5GB</t>
    </r>
  </si>
  <si>
    <r>
      <t xml:space="preserve">Iniciar todas as intâncias no novo tema - </t>
    </r>
    <r>
      <rPr>
        <b/>
        <i/>
        <sz val="10"/>
        <color theme="1"/>
        <rFont val="Calibri"/>
        <family val="2"/>
        <scheme val="minor"/>
      </rPr>
      <t>Start All na Console</t>
    </r>
  </si>
  <si>
    <t>Validar acesso ao sistema e principais funções</t>
  </si>
  <si>
    <t>Remover manutenção aplicada</t>
  </si>
  <si>
    <t>Remover todas as imagens Docker em todos os hosts</t>
  </si>
  <si>
    <r>
      <t xml:space="preserve">Voltar o AppManager para o tela antigo:
</t>
    </r>
    <r>
      <rPr>
        <b/>
        <i/>
        <sz val="10"/>
        <color theme="1"/>
        <rFont val="Calibri"/>
        <family val="2"/>
        <scheme val="minor"/>
      </rPr>
      <t>- Menu do Profile &gt; Legacy Theme</t>
    </r>
  </si>
  <si>
    <t>Adicionar as imagens no Tema antigo preservando quantidade, Versão e SP das anteriores</t>
  </si>
  <si>
    <r>
      <t xml:space="preserve">Iniciar todas as intâncias no tema antigo - </t>
    </r>
    <r>
      <rPr>
        <b/>
        <i/>
        <sz val="10"/>
        <color theme="1"/>
        <rFont val="Calibri"/>
        <family val="2"/>
        <scheme val="minor"/>
      </rPr>
      <t>Start All na Console</t>
    </r>
  </si>
  <si>
    <t>Validar acesso e principais funções do sistema</t>
  </si>
  <si>
    <t>Reverter Snapshot de todas as VMs do cluster Tasy</t>
  </si>
  <si>
    <t>Iniciar imagens Docker na VM recriada</t>
  </si>
  <si>
    <t>Atualização de certificado SSL</t>
  </si>
  <si>
    <t>Erros de Validação do certificado</t>
  </si>
  <si>
    <t>MÉDIO</t>
  </si>
  <si>
    <t>Avaliação, Correção ou possivel  rollback</t>
  </si>
  <si>
    <t>Erros de acesso ao Tasy</t>
  </si>
  <si>
    <t xml:space="preserve">Problemas na inicialização do serviço </t>
  </si>
  <si>
    <t>Erros de relatório</t>
  </si>
  <si>
    <t>Averiguar status das instâncias</t>
  </si>
  <si>
    <t>Validar cadeia do certificado</t>
  </si>
  <si>
    <t>Copia de backup dos arquivos de certificados antigos no servidor</t>
  </si>
  <si>
    <t>Alterar o certificado nos ambientes</t>
  </si>
  <si>
    <t>Realizar o upload do certificado novo</t>
  </si>
  <si>
    <t>Reiniciar as instâncias do App Manager</t>
  </si>
  <si>
    <t>Realizar a validação do certificado novo no acesso ao Tasy</t>
  </si>
  <si>
    <t>Exportar certificado anterior</t>
  </si>
  <si>
    <t>Reiniciar as instâncias</t>
  </si>
  <si>
    <t>Realizar validação do certificado no acesso ao Tasy</t>
  </si>
  <si>
    <t>Escalar para Analista Especializado</t>
  </si>
  <si>
    <t>Avaliar possibilidade de Restore boot Volume</t>
  </si>
  <si>
    <t>Verificar Configurações de rede</t>
  </si>
  <si>
    <t>Verificar Configurações do App Manager</t>
  </si>
  <si>
    <t>Restabelecer Ambiente do App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</si>
</sst>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rgb="FF0B5E8E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42424"/>
      <name val="Cascadia Mono"/>
      <family val="3"/>
    </font>
    <font>
      <b/>
      <sz val="11"/>
      <color rgb="FF92D050"/>
      <name val="Calibri"/>
      <family val="2"/>
      <scheme val="minor"/>
    </font>
    <font>
      <sz val="10"/>
      <color theme="4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2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8" xfId="0" applyFont="1" applyBorder="1"/>
    <xf numFmtId="0" fontId="0" fillId="0" borderId="8" xfId="0" applyBorder="1"/>
    <xf numFmtId="0" fontId="0" fillId="0" borderId="12" xfId="0" applyBorder="1"/>
    <xf numFmtId="0" fontId="1" fillId="0" borderId="6" xfId="0" applyFont="1" applyBorder="1"/>
    <xf numFmtId="0" fontId="1" fillId="0" borderId="7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0" xfId="0" applyFont="1" applyAlignment="1">
      <alignment wrapText="1"/>
    </xf>
    <xf numFmtId="0" fontId="0" fillId="0" borderId="15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8" fillId="2" borderId="2" xfId="0" applyFont="1" applyFill="1" applyBorder="1"/>
    <xf numFmtId="0" fontId="8" fillId="2" borderId="3" xfId="0" applyFont="1" applyFill="1" applyBorder="1"/>
    <xf numFmtId="0" fontId="0" fillId="0" borderId="5" xfId="0" applyBorder="1" applyAlignment="1">
      <alignment horizontal="center"/>
    </xf>
    <xf numFmtId="0" fontId="14" fillId="0" borderId="0" xfId="0" applyFont="1"/>
    <xf numFmtId="0" fontId="16" fillId="0" borderId="8" xfId="0" applyFont="1" applyBorder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 applyProtection="1">
      <alignment horizontal="center"/>
      <protection locked="0"/>
    </xf>
    <xf numFmtId="14" fontId="0" fillId="2" borderId="1" xfId="0" applyNumberForma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 applyProtection="1">
      <alignment horizontal="left"/>
      <protection locked="0"/>
    </xf>
    <xf numFmtId="0" fontId="0" fillId="4" borderId="3" xfId="0" applyFill="1" applyBorder="1" applyAlignment="1" applyProtection="1">
      <alignment horizontal="left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10" xfId="0" applyFont="1" applyFill="1" applyBorder="1" applyProtection="1"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1" fillId="2" borderId="4" xfId="0" applyFont="1" applyFill="1" applyBorder="1"/>
    <xf numFmtId="0" fontId="1" fillId="0" borderId="1" xfId="0" applyFont="1" applyBorder="1" applyAlignment="1">
      <alignment horizontal="left"/>
    </xf>
    <xf numFmtId="14" fontId="0" fillId="0" borderId="1" xfId="0" applyNumberFormat="1" applyBorder="1" applyAlignment="1" applyProtection="1">
      <alignment horizontal="right"/>
      <protection locked="0"/>
    </xf>
    <xf numFmtId="164" fontId="0" fillId="0" borderId="1" xfId="0" applyNumberFormat="1" applyBorder="1" applyAlignment="1" applyProtection="1">
      <alignment horizontal="right"/>
      <protection locked="0"/>
    </xf>
    <xf numFmtId="21" fontId="0" fillId="0" borderId="1" xfId="0" applyNumberForma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right"/>
      <protection locked="0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21" fontId="0" fillId="0" borderId="2" xfId="0" applyNumberFormat="1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right"/>
      <protection locked="0"/>
    </xf>
    <xf numFmtId="0" fontId="0" fillId="0" borderId="4" xfId="0" applyBorder="1" applyAlignment="1" applyProtection="1">
      <alignment horizontal="right"/>
      <protection locked="0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 applyProtection="1">
      <alignment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horizontal="center" wrapText="1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 wrapText="1"/>
    </xf>
    <xf numFmtId="0" fontId="1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4" borderId="2" xfId="0" applyFont="1" applyFill="1" applyBorder="1" applyAlignment="1" applyProtection="1">
      <alignment wrapText="1"/>
      <protection locked="0"/>
    </xf>
    <xf numFmtId="0" fontId="4" fillId="4" borderId="3" xfId="0" applyFont="1" applyFill="1" applyBorder="1" applyAlignment="1" applyProtection="1">
      <alignment wrapText="1"/>
      <protection locked="0"/>
    </xf>
    <xf numFmtId="0" fontId="4" fillId="4" borderId="4" xfId="0" applyFont="1" applyFill="1" applyBorder="1" applyAlignment="1" applyProtection="1">
      <alignment wrapText="1"/>
      <protection locked="0"/>
    </xf>
    <xf numFmtId="0" fontId="4" fillId="4" borderId="2" xfId="0" applyFont="1" applyFill="1" applyBorder="1" applyAlignment="1" applyProtection="1">
      <alignment horizontal="center" wrapText="1"/>
      <protection locked="0"/>
    </xf>
    <xf numFmtId="0" fontId="4" fillId="4" borderId="3" xfId="0" applyFont="1" applyFill="1" applyBorder="1" applyAlignment="1" applyProtection="1">
      <alignment horizontal="center" wrapText="1"/>
      <protection locked="0"/>
    </xf>
    <xf numFmtId="0" fontId="4" fillId="4" borderId="4" xfId="0" applyFont="1" applyFill="1" applyBorder="1" applyAlignment="1" applyProtection="1">
      <alignment horizontal="center" wrapText="1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20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20" fontId="4" fillId="4" borderId="1" xfId="0" applyNumberFormat="1" applyFont="1" applyFill="1" applyBorder="1" applyAlignment="1" applyProtection="1">
      <alignment horizontal="center" wrapText="1"/>
      <protection locked="0"/>
    </xf>
    <xf numFmtId="0" fontId="4" fillId="4" borderId="2" xfId="0" applyFont="1" applyFill="1" applyBorder="1" applyAlignment="1" applyProtection="1">
      <alignment vertical="center" wrapText="1"/>
      <protection locked="0"/>
    </xf>
    <xf numFmtId="0" fontId="4" fillId="4" borderId="3" xfId="0" applyFont="1" applyFill="1" applyBorder="1" applyAlignment="1" applyProtection="1">
      <alignment vertical="center" wrapText="1"/>
      <protection locked="0"/>
    </xf>
    <xf numFmtId="0" fontId="4" fillId="4" borderId="4" xfId="0" applyFont="1" applyFill="1" applyBorder="1" applyAlignment="1" applyProtection="1">
      <alignment vertical="center" wrapText="1"/>
      <protection locked="0"/>
    </xf>
    <xf numFmtId="0" fontId="4" fillId="4" borderId="2" xfId="0" applyFont="1" applyFill="1" applyBorder="1" applyProtection="1">
      <protection locked="0"/>
    </xf>
    <xf numFmtId="0" fontId="4" fillId="4" borderId="3" xfId="0" applyFont="1" applyFill="1" applyBorder="1" applyProtection="1">
      <protection locked="0"/>
    </xf>
    <xf numFmtId="0" fontId="4" fillId="4" borderId="4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center"/>
      <protection locked="0"/>
    </xf>
    <xf numFmtId="0" fontId="4" fillId="4" borderId="4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4" borderId="5" xfId="0" applyFill="1" applyBorder="1" applyAlignment="1" applyProtection="1">
      <alignment horizont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21" fillId="4" borderId="5" xfId="0" applyFont="1" applyFill="1" applyBorder="1" applyAlignment="1" applyProtection="1">
      <alignment horizontal="left" vertical="center" wrapText="1"/>
      <protection locked="0"/>
    </xf>
    <xf numFmtId="0" fontId="4" fillId="4" borderId="6" xfId="0" applyFont="1" applyFill="1" applyBorder="1" applyAlignment="1" applyProtection="1">
      <alignment horizontal="left" vertical="center" wrapText="1"/>
      <protection locked="0"/>
    </xf>
    <xf numFmtId="0" fontId="4" fillId="4" borderId="7" xfId="0" applyFont="1" applyFill="1" applyBorder="1" applyAlignment="1" applyProtection="1">
      <alignment horizontal="left" vertical="center" wrapText="1"/>
      <protection locked="0"/>
    </xf>
    <xf numFmtId="0" fontId="4" fillId="4" borderId="13" xfId="0" applyFont="1" applyFill="1" applyBorder="1" applyAlignment="1" applyProtection="1">
      <alignment horizontal="left" vertical="center" wrapText="1"/>
      <protection locked="0"/>
    </xf>
    <xf numFmtId="0" fontId="4" fillId="4" borderId="0" xfId="0" applyFont="1" applyFill="1" applyAlignment="1" applyProtection="1">
      <alignment horizontal="left" vertical="center" wrapText="1"/>
      <protection locked="0"/>
    </xf>
    <xf numFmtId="0" fontId="4" fillId="4" borderId="14" xfId="0" applyFont="1" applyFill="1" applyBorder="1" applyAlignment="1" applyProtection="1">
      <alignment horizontal="left" vertical="center" wrapText="1"/>
      <protection locked="0"/>
    </xf>
    <xf numFmtId="0" fontId="4" fillId="4" borderId="9" xfId="0" applyFont="1" applyFill="1" applyBorder="1" applyAlignment="1" applyProtection="1">
      <alignment horizontal="left" vertical="center" wrapText="1"/>
      <protection locked="0"/>
    </xf>
    <xf numFmtId="0" fontId="4" fillId="4" borderId="10" xfId="0" applyFont="1" applyFill="1" applyBorder="1" applyAlignment="1" applyProtection="1">
      <alignment horizontal="left" vertical="center" wrapText="1"/>
      <protection locked="0"/>
    </xf>
    <xf numFmtId="0" fontId="4" fillId="4" borderId="11" xfId="0" applyFont="1" applyFill="1" applyBorder="1" applyAlignment="1" applyProtection="1">
      <alignment horizontal="left" vertical="center" wrapText="1"/>
      <protection locked="0"/>
    </xf>
    <xf numFmtId="0" fontId="0" fillId="4" borderId="2" xfId="0" applyFill="1" applyBorder="1" applyAlignment="1" applyProtection="1">
      <alignment horizontal="center" vertical="center" wrapText="1"/>
      <protection locked="0"/>
    </xf>
    <xf numFmtId="0" fontId="0" fillId="4" borderId="3" xfId="0" applyFill="1" applyBorder="1" applyAlignment="1" applyProtection="1">
      <alignment horizontal="center" vertical="center" wrapText="1"/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vertical="top" wrapText="1"/>
      <protection locked="0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2" borderId="3" xfId="0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2" fillId="2" borderId="2" xfId="1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9" xfId="0" applyFont="1" applyFill="1" applyBorder="1"/>
    <xf numFmtId="0" fontId="1" fillId="2" borderId="11" xfId="0" applyFont="1" applyFill="1" applyBorder="1"/>
    <xf numFmtId="0" fontId="0" fillId="0" borderId="0" xfId="0" applyAlignment="1">
      <alignment horizontal="center"/>
    </xf>
    <xf numFmtId="0" fontId="0" fillId="0" borderId="1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4" fillId="4" borderId="2" xfId="0" applyFont="1" applyFill="1" applyBorder="1" applyAlignment="1" applyProtection="1">
      <alignment horizontal="left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4" borderId="5" xfId="0" applyFont="1" applyFill="1" applyBorder="1" applyAlignment="1" applyProtection="1">
      <alignment horizontal="left"/>
      <protection locked="0"/>
    </xf>
    <xf numFmtId="0" fontId="4" fillId="4" borderId="6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0" fillId="0" borderId="0" xfId="0"/>
  </cellXfs>
  <cellStyles count="2">
    <cellStyle name="Hiperlink" xfId="1" builtinId="8"/>
    <cellStyle name="Normal" xfId="0" builtinId="0"/>
  </cellStyles>
  <dxfs count="342"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font>
        <b/>
        <i val="0"/>
      </font>
      <fill>
        <patternFill>
          <bgColor theme="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font>
        <b/>
        <i val="0"/>
      </font>
      <fill>
        <patternFill>
          <bgColor theme="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font>
        <b/>
        <i val="0"/>
      </font>
      <fill>
        <patternFill>
          <bgColor theme="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font>
        <b/>
        <i val="0"/>
      </font>
      <fill>
        <patternFill>
          <bgColor theme="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font>
        <b/>
        <i val="0"/>
      </font>
      <fill>
        <patternFill>
          <bgColor theme="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font>
        <b/>
        <i val="0"/>
      </font>
      <fill>
        <patternFill>
          <bgColor theme="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  <fill>
        <patternFill>
          <bgColor theme="2"/>
        </patternFill>
      </fill>
    </dxf>
    <dxf>
      <font>
        <b/>
        <i val="0"/>
        <color auto="1"/>
      </font>
      <fill>
        <patternFill>
          <bgColor theme="2"/>
        </patternFill>
      </fill>
    </dxf>
    <dxf>
      <font>
        <b/>
        <i val="0"/>
        <color rgb="FFC00000"/>
      </font>
      <fill>
        <patternFill>
          <bgColor theme="2"/>
        </patternFill>
      </fill>
    </dxf>
    <dxf>
      <font>
        <b/>
        <i val="0"/>
        <color theme="5" tint="-0.24994659260841701"/>
      </font>
    </dxf>
    <dxf>
      <font>
        <b/>
        <i val="0"/>
      </font>
      <fill>
        <patternFill>
          <bgColor theme="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9E971C8-519A-41B5-BDD7-D49FB2873CCF}"/>
            </a:ext>
          </a:extLst>
        </xdr:cNvPr>
        <xdr:cNvSpPr/>
      </xdr:nvSpPr>
      <xdr:spPr>
        <a:xfrm>
          <a:off x="2159907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13891</xdr:colOff>
      <xdr:row>0</xdr:row>
      <xdr:rowOff>69315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D46ACC5-45CF-492A-A44D-F3906F5B470F}"/>
            </a:ext>
          </a:extLst>
        </xdr:cNvPr>
        <xdr:cNvSpPr/>
      </xdr:nvSpPr>
      <xdr:spPr>
        <a:xfrm>
          <a:off x="2185591" y="6931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13891</xdr:colOff>
      <xdr:row>0</xdr:row>
      <xdr:rowOff>69315</xdr:rowOff>
    </xdr:from>
    <xdr:ext cx="2751953" cy="342786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DEA5F42-AE41-46ED-860B-799CB98AF69D}"/>
            </a:ext>
          </a:extLst>
        </xdr:cNvPr>
        <xdr:cNvSpPr/>
      </xdr:nvSpPr>
      <xdr:spPr>
        <a:xfrm>
          <a:off x="2185591" y="6931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1418825-FA3D-4D77-8DB0-4F3C900B2B76}"/>
            </a:ext>
          </a:extLst>
        </xdr:cNvPr>
        <xdr:cNvSpPr/>
      </xdr:nvSpPr>
      <xdr:spPr>
        <a:xfrm>
          <a:off x="2201817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D4055D4-6559-42DB-AD66-4BD0FF52DC4F}"/>
            </a:ext>
          </a:extLst>
        </xdr:cNvPr>
        <xdr:cNvSpPr/>
      </xdr:nvSpPr>
      <xdr:spPr>
        <a:xfrm>
          <a:off x="2201817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F6E3561-F61D-4F95-B45F-BBBC27F2C999}"/>
            </a:ext>
          </a:extLst>
        </xdr:cNvPr>
        <xdr:cNvSpPr/>
      </xdr:nvSpPr>
      <xdr:spPr>
        <a:xfrm>
          <a:off x="2201817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A778284-0823-4BA0-963C-2D4B0F1E75DA}"/>
            </a:ext>
          </a:extLst>
        </xdr:cNvPr>
        <xdr:cNvSpPr/>
      </xdr:nvSpPr>
      <xdr:spPr>
        <a:xfrm>
          <a:off x="2158002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  <xdr:twoCellAnchor editAs="oneCell">
    <xdr:from>
      <xdr:col>1</xdr:col>
      <xdr:colOff>58016</xdr:colOff>
      <xdr:row>89</xdr:row>
      <xdr:rowOff>98715</xdr:rowOff>
    </xdr:from>
    <xdr:to>
      <xdr:col>19</xdr:col>
      <xdr:colOff>169706</xdr:colOff>
      <xdr:row>104</xdr:row>
      <xdr:rowOff>150669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1A4F0C4-3746-4D88-A038-6216D1F0E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16" y="18824865"/>
          <a:ext cx="6398190" cy="2909454"/>
        </a:xfrm>
        <a:prstGeom prst="rect">
          <a:avLst/>
        </a:prstGeom>
      </xdr:spPr>
    </xdr:pic>
    <xdr:clientData/>
  </xdr:twoCellAnchor>
  <xdr:twoCellAnchor editAs="oneCell">
    <xdr:from>
      <xdr:col>1</xdr:col>
      <xdr:colOff>127289</xdr:colOff>
      <xdr:row>106</xdr:row>
      <xdr:rowOff>73528</xdr:rowOff>
    </xdr:from>
    <xdr:to>
      <xdr:col>19</xdr:col>
      <xdr:colOff>75478</xdr:colOff>
      <xdr:row>120</xdr:row>
      <xdr:rowOff>20261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9326CF-CA38-4515-BECC-5F407BA93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589" y="22038178"/>
          <a:ext cx="6225164" cy="26099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4F350A3-3D40-5542-A892-C00F931FC594}"/>
            </a:ext>
          </a:extLst>
        </xdr:cNvPr>
        <xdr:cNvSpPr/>
      </xdr:nvSpPr>
      <xdr:spPr>
        <a:xfrm>
          <a:off x="2424702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17211ED-1D9B-4ADA-B1E2-87DD8956EDC4}"/>
            </a:ext>
          </a:extLst>
        </xdr:cNvPr>
        <xdr:cNvSpPr/>
      </xdr:nvSpPr>
      <xdr:spPr>
        <a:xfrm>
          <a:off x="2158002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2F2E5FF-C69D-467E-B847-765026420EDC}"/>
            </a:ext>
          </a:extLst>
        </xdr:cNvPr>
        <xdr:cNvSpPr/>
      </xdr:nvSpPr>
      <xdr:spPr>
        <a:xfrm>
          <a:off x="2158002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329202</xdr:colOff>
      <xdr:row>0</xdr:row>
      <xdr:rowOff>3625</xdr:rowOff>
    </xdr:from>
    <xdr:ext cx="2751953" cy="34278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EC6F223-D860-477B-ACAC-A4186CBA61D2}"/>
            </a:ext>
          </a:extLst>
        </xdr:cNvPr>
        <xdr:cNvSpPr/>
      </xdr:nvSpPr>
      <xdr:spPr>
        <a:xfrm>
          <a:off x="2158002" y="3625"/>
          <a:ext cx="2751953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SOLICITAÇÃO</a:t>
          </a:r>
          <a:r>
            <a:rPr lang="pt-BR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6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DE MUDANÇA</a:t>
          </a:r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B5E8E"/>
      </a:accent1>
      <a:accent2>
        <a:srgbClr val="F0815A"/>
      </a:accent2>
      <a:accent3>
        <a:srgbClr val="667C91"/>
      </a:accent3>
      <a:accent4>
        <a:srgbClr val="EBE5D6"/>
      </a:accent4>
      <a:accent5>
        <a:srgbClr val="A7C6DB"/>
      </a:accent5>
      <a:accent6>
        <a:srgbClr val="F9ECE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D6AE-6BF7-4EA0-8A67-E4CD9D21D2C0}">
  <dimension ref="B4:T138"/>
  <sheetViews>
    <sheetView showGridLines="0" topLeftCell="A93" zoomScale="110" zoomScaleNormal="110" workbookViewId="0">
      <selection activeCell="X80" sqref="X80"/>
    </sheetView>
  </sheetViews>
  <sheetFormatPr defaultColWidth="8.88671875" defaultRowHeight="14.4" x14ac:dyDescent="0.3"/>
  <cols>
    <col min="1" max="1" width="1.6640625" customWidth="1"/>
    <col min="2" max="11" width="5.109375" customWidth="1"/>
    <col min="12" max="12" width="6.6640625" customWidth="1"/>
    <col min="13" max="20" width="5.109375" customWidth="1"/>
    <col min="21" max="22" width="1.6640625" customWidth="1"/>
  </cols>
  <sheetData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6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4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x14ac:dyDescent="0.3">
      <c r="B33" s="48" t="s">
        <v>29</v>
      </c>
      <c r="C33" s="49"/>
      <c r="D33" s="49"/>
      <c r="E33" s="49"/>
      <c r="F33" s="49"/>
      <c r="G33" s="43" t="s">
        <v>30</v>
      </c>
      <c r="H33" s="43"/>
      <c r="I33" s="43"/>
      <c r="J33" s="43"/>
      <c r="L33" s="52" t="str" cm="1">
        <f t="array" ref="L33">_xlfn.IFS(
AND(G32&lt;&gt;"PRODUÇÃO",G33="NÃO"),"ALERTA: Risco de perda de dados sem o backup!",
AND(G32="PRODUÇÃO",G33="NÃO"),"ABORTAR GMUD!!!",
G33="SIM","Print de evidência do backup na página de anexos.",
G33="",""
)</f>
        <v>Print de evidência do backup na página de anexos.</v>
      </c>
      <c r="M33" s="52"/>
      <c r="N33" s="52"/>
      <c r="O33" s="52"/>
      <c r="P33" s="52"/>
      <c r="Q33" s="52"/>
      <c r="R33" s="52"/>
      <c r="S33" s="52"/>
      <c r="T33" s="52"/>
    </row>
    <row r="34" spans="2:20" x14ac:dyDescent="0.3">
      <c r="B34" s="22" t="s">
        <v>31</v>
      </c>
      <c r="C34" s="23"/>
      <c r="D34" s="23"/>
      <c r="E34" s="23"/>
      <c r="F34" s="23"/>
      <c r="G34" s="22"/>
      <c r="H34" s="23"/>
      <c r="I34" s="23"/>
      <c r="J34" s="23"/>
    </row>
    <row r="35" spans="2:20" x14ac:dyDescent="0.3">
      <c r="B35" s="59" t="s">
        <v>32</v>
      </c>
      <c r="C35" s="60"/>
      <c r="D35" s="60"/>
      <c r="E35" s="60"/>
      <c r="F35" s="60"/>
      <c r="G35" s="60"/>
      <c r="H35" s="60"/>
      <c r="I35" s="43" t="s">
        <v>33</v>
      </c>
      <c r="J35" s="43"/>
      <c r="L35" s="52" t="str" cm="1">
        <f t="array" ref="L35">_xlfn.IFS(
I35="NÃO","ALERTA: necessário ter acesso à console Appmgr!",
I35="SIM","",
I35="",""
)</f>
        <v>ALERTA: necessário ter acesso à console Appmgr!</v>
      </c>
      <c r="M35" s="52"/>
      <c r="N35" s="52"/>
      <c r="O35" s="52"/>
      <c r="P35" s="52"/>
      <c r="Q35" s="52"/>
      <c r="R35" s="52"/>
      <c r="S35" s="52"/>
      <c r="T35" s="52"/>
    </row>
    <row r="36" spans="2:20" x14ac:dyDescent="0.3">
      <c r="B36" s="61" t="s">
        <v>34</v>
      </c>
      <c r="C36" s="62"/>
      <c r="D36" s="62"/>
      <c r="E36" s="62"/>
      <c r="F36" s="62"/>
      <c r="G36" s="62"/>
      <c r="H36" s="62"/>
      <c r="I36" s="43" t="s">
        <v>33</v>
      </c>
      <c r="J36" s="43"/>
      <c r="L36" s="52" t="str" cm="1">
        <f t="array" ref="L36">_xlfn.IFS(
I36="NÃO","",
I36="SIM","ALERTA: Evidenciar configurações dos hosts",
I36="",""
)</f>
        <v/>
      </c>
      <c r="M36" s="52"/>
      <c r="N36" s="52"/>
      <c r="O36" s="52"/>
      <c r="P36" s="52"/>
      <c r="Q36" s="52"/>
      <c r="R36" s="52"/>
      <c r="S36" s="52"/>
      <c r="T36" s="52"/>
    </row>
    <row r="37" spans="2:20" ht="15" customHeight="1" x14ac:dyDescent="0.3"/>
    <row r="39" spans="2:20" ht="18" x14ac:dyDescent="0.35">
      <c r="B39" s="1" t="s">
        <v>35</v>
      </c>
      <c r="C39" s="13"/>
      <c r="D39" s="13"/>
      <c r="E39" s="13"/>
      <c r="F39" s="13"/>
      <c r="L39" s="14"/>
      <c r="M39" s="14"/>
      <c r="N39" s="14"/>
      <c r="O39" s="14"/>
      <c r="P39" s="14"/>
      <c r="Q39" s="14"/>
      <c r="R39" s="14"/>
      <c r="S39" s="14"/>
      <c r="T39" s="14"/>
    </row>
    <row r="40" spans="2:20" x14ac:dyDescent="0.3">
      <c r="B40" s="54" t="str">
        <f>IF(
OR(L33="Print de evidência do backup na página de anexos.",L33="ALERTA: Risco de perda de dados sem o backup!"),"Data de ínicio:",""
)</f>
        <v>Data de ínicio:</v>
      </c>
      <c r="C40" s="54"/>
      <c r="D40" s="54"/>
      <c r="E40" s="54"/>
      <c r="F40" s="54"/>
      <c r="G40" s="54"/>
      <c r="H40" s="54"/>
      <c r="I40" s="54"/>
      <c r="J40" s="54"/>
      <c r="K40" s="54"/>
      <c r="L40" s="55" t="s">
        <v>36</v>
      </c>
      <c r="M40" s="55"/>
      <c r="N40" s="55"/>
      <c r="O40" s="55"/>
      <c r="P40" s="55"/>
      <c r="Q40" s="55"/>
      <c r="R40" s="55"/>
      <c r="S40" s="55"/>
      <c r="T40" s="55"/>
    </row>
    <row r="41" spans="2:20" x14ac:dyDescent="0.3">
      <c r="B41" s="54" t="str">
        <f>IF(
OR(L33="Print de evidência do backup na página de anexos.",L33="ALERTA: Risco de perda de dados sem o backup!"),"Hora de ínicio:",""
)</f>
        <v>Hora de ínicio:</v>
      </c>
      <c r="C41" s="54"/>
      <c r="D41" s="54"/>
      <c r="E41" s="54"/>
      <c r="F41" s="54"/>
      <c r="G41" s="54"/>
      <c r="H41" s="54"/>
      <c r="I41" s="54"/>
      <c r="J41" s="54"/>
      <c r="K41" s="54"/>
      <c r="L41" s="56">
        <v>0.5625</v>
      </c>
      <c r="M41" s="56"/>
      <c r="N41" s="56"/>
      <c r="O41" s="56"/>
      <c r="P41" s="56"/>
      <c r="Q41" s="56"/>
      <c r="R41" s="56"/>
      <c r="S41" s="56"/>
      <c r="T41" s="56"/>
    </row>
    <row r="42" spans="2:20" x14ac:dyDescent="0.3">
      <c r="B42" s="54" t="str">
        <f>IF(L41&lt;&gt;"","Tempo total de execução:","")</f>
        <v>Tempo total de execução:</v>
      </c>
      <c r="C42" s="54"/>
      <c r="D42" s="54"/>
      <c r="E42" s="54"/>
      <c r="F42" s="54"/>
      <c r="G42" s="54"/>
      <c r="H42" s="54"/>
      <c r="I42" s="54"/>
      <c r="J42" s="54"/>
      <c r="K42" s="54"/>
      <c r="L42" s="57">
        <v>8.3333333333333329E-2</v>
      </c>
      <c r="M42" s="58"/>
      <c r="N42" s="58"/>
      <c r="O42" s="58"/>
      <c r="P42" s="58"/>
      <c r="Q42" s="58"/>
      <c r="R42" s="58"/>
      <c r="S42" s="58"/>
      <c r="T42" s="58"/>
    </row>
    <row r="43" spans="2:20" x14ac:dyDescent="0.3">
      <c r="B43" s="54" t="str">
        <f>IF(L42&lt;&gt;"","Tempo total de paralização:","")</f>
        <v>Tempo total de paralização:</v>
      </c>
      <c r="C43" s="54"/>
      <c r="D43" s="54"/>
      <c r="E43" s="54"/>
      <c r="F43" s="54"/>
      <c r="G43" s="54"/>
      <c r="H43" s="54"/>
      <c r="I43" s="54"/>
      <c r="J43" s="54"/>
      <c r="K43" s="54"/>
      <c r="L43" s="63">
        <v>6.25E-2</v>
      </c>
      <c r="M43" s="64"/>
      <c r="N43" s="64"/>
      <c r="O43" s="64"/>
      <c r="P43" s="64"/>
      <c r="Q43" s="64"/>
      <c r="R43" s="64"/>
      <c r="S43" s="64"/>
      <c r="T43" s="65"/>
    </row>
    <row r="44" spans="2:20" x14ac:dyDescent="0.3">
      <c r="B44" s="54" t="str">
        <f>IF(L43&lt;&gt;"","Tempo total para testes","")</f>
        <v>Tempo total para testes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4.1666666666666664E-2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54" t="str">
        <f>IF(L44&lt;&gt;"","Tempo total para tentativa de correções:","")</f>
        <v>Tempo total para tentativa de correções: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8.3333333333333329E-2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plano de volta:","")</f>
        <v>Tempo total para plano de volta: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8.3333333333333329E-2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66"/>
      <c r="C47" s="67"/>
      <c r="D47" s="67"/>
      <c r="E47" s="68"/>
      <c r="F47" s="69"/>
      <c r="G47" s="70"/>
      <c r="H47" s="70"/>
      <c r="I47" s="70"/>
      <c r="J47" s="71"/>
    </row>
    <row r="48" spans="2:20" ht="18" x14ac:dyDescent="0.35">
      <c r="B48" s="4" t="s">
        <v>37</v>
      </c>
      <c r="C48" s="7"/>
      <c r="D48" s="7"/>
      <c r="E48" s="8"/>
      <c r="F48" s="9"/>
      <c r="G48" s="10"/>
      <c r="H48" s="10"/>
      <c r="I48" s="10"/>
      <c r="J48" s="11"/>
    </row>
    <row r="49" spans="2:20" s="19" customFormat="1" x14ac:dyDescent="0.3">
      <c r="B49" s="72" t="s">
        <v>38</v>
      </c>
      <c r="C49" s="72"/>
      <c r="D49" s="72"/>
      <c r="E49" s="72"/>
      <c r="F49" s="72"/>
      <c r="G49" s="72"/>
      <c r="H49" s="72"/>
      <c r="I49" s="73" t="s">
        <v>39</v>
      </c>
      <c r="J49" s="73"/>
      <c r="K49" s="73"/>
      <c r="L49" s="73" t="s">
        <v>40</v>
      </c>
      <c r="M49" s="73"/>
      <c r="N49" s="72" t="s">
        <v>41</v>
      </c>
      <c r="O49" s="72"/>
      <c r="P49" s="72"/>
      <c r="Q49" s="72"/>
      <c r="R49" s="72"/>
      <c r="S49" s="72"/>
      <c r="T49" s="72"/>
    </row>
    <row r="50" spans="2:20" s="19" customFormat="1" ht="15" customHeight="1" x14ac:dyDescent="0.3">
      <c r="B50" s="74" t="s">
        <v>42</v>
      </c>
      <c r="C50" s="74"/>
      <c r="D50" s="74"/>
      <c r="E50" s="74"/>
      <c r="F50" s="74"/>
      <c r="G50" s="74"/>
      <c r="H50" s="74"/>
      <c r="I50" s="75" t="s">
        <v>43</v>
      </c>
      <c r="J50" s="75"/>
      <c r="K50" s="75"/>
      <c r="L50" s="75" t="s">
        <v>44</v>
      </c>
      <c r="M50" s="75"/>
      <c r="N50" s="74" t="s">
        <v>45</v>
      </c>
      <c r="O50" s="74"/>
      <c r="P50" s="74"/>
      <c r="Q50" s="74"/>
      <c r="R50" s="74"/>
      <c r="S50" s="74"/>
      <c r="T50" s="74"/>
    </row>
    <row r="51" spans="2:20" s="19" customFormat="1" x14ac:dyDescent="0.3">
      <c r="B51" s="74" t="s">
        <v>77</v>
      </c>
      <c r="C51" s="74"/>
      <c r="D51" s="74"/>
      <c r="E51" s="74"/>
      <c r="F51" s="74"/>
      <c r="G51" s="74"/>
      <c r="H51" s="74"/>
      <c r="I51" s="75" t="s">
        <v>43</v>
      </c>
      <c r="J51" s="75"/>
      <c r="K51" s="75"/>
      <c r="L51" s="75" t="s">
        <v>44</v>
      </c>
      <c r="M51" s="75"/>
      <c r="N51" s="74" t="s">
        <v>45</v>
      </c>
      <c r="O51" s="74"/>
      <c r="P51" s="74"/>
      <c r="Q51" s="74"/>
      <c r="R51" s="74"/>
      <c r="S51" s="74"/>
      <c r="T51" s="74"/>
    </row>
    <row r="52" spans="2:20" s="19" customFormat="1" x14ac:dyDescent="0.3">
      <c r="B52" s="74" t="s">
        <v>78</v>
      </c>
      <c r="C52" s="74"/>
      <c r="D52" s="74"/>
      <c r="E52" s="74"/>
      <c r="F52" s="74"/>
      <c r="G52" s="74"/>
      <c r="H52" s="74"/>
      <c r="I52" s="75" t="s">
        <v>43</v>
      </c>
      <c r="J52" s="75"/>
      <c r="K52" s="75"/>
      <c r="L52" s="75" t="s">
        <v>44</v>
      </c>
      <c r="M52" s="75"/>
      <c r="N52" s="74" t="s">
        <v>79</v>
      </c>
      <c r="O52" s="74"/>
      <c r="P52" s="74"/>
      <c r="Q52" s="74"/>
      <c r="R52" s="74"/>
      <c r="S52" s="74"/>
      <c r="T52" s="74"/>
    </row>
    <row r="53" spans="2:20" s="19" customFormat="1" x14ac:dyDescent="0.3">
      <c r="B53" s="74"/>
      <c r="C53" s="74"/>
      <c r="D53" s="74"/>
      <c r="E53" s="74"/>
      <c r="F53" s="74"/>
      <c r="G53" s="74"/>
      <c r="H53" s="74"/>
      <c r="I53" s="75"/>
      <c r="J53" s="75"/>
      <c r="K53" s="75"/>
      <c r="L53" s="75"/>
      <c r="M53" s="75"/>
      <c r="N53" s="74"/>
      <c r="O53" s="74"/>
      <c r="P53" s="74"/>
      <c r="Q53" s="74"/>
      <c r="R53" s="74"/>
      <c r="S53" s="74"/>
      <c r="T53" s="74"/>
    </row>
    <row r="56" spans="2:20" ht="18" x14ac:dyDescent="0.35">
      <c r="B56" s="4" t="s">
        <v>46</v>
      </c>
    </row>
    <row r="57" spans="2:20" s="19" customFormat="1" x14ac:dyDescent="0.3">
      <c r="B57" s="72" t="s">
        <v>47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3" t="s">
        <v>48</v>
      </c>
      <c r="N57" s="73"/>
      <c r="O57" s="73"/>
      <c r="P57" s="73" t="s">
        <v>49</v>
      </c>
      <c r="Q57" s="73"/>
      <c r="R57" s="73"/>
      <c r="S57" s="73"/>
      <c r="T57" s="73"/>
    </row>
    <row r="58" spans="2:20" s="19" customFormat="1" x14ac:dyDescent="0.3">
      <c r="B58" s="76" t="s">
        <v>80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7" t="s">
        <v>51</v>
      </c>
      <c r="N58" s="77"/>
      <c r="O58" s="77"/>
      <c r="P58" s="77" t="str">
        <f>D28</f>
        <v>Murilo Moraes</v>
      </c>
      <c r="Q58" s="77"/>
      <c r="R58" s="77"/>
      <c r="S58" s="77"/>
      <c r="T58" s="77"/>
    </row>
    <row r="59" spans="2:20" s="19" customFormat="1" ht="15" customHeight="1" x14ac:dyDescent="0.3">
      <c r="B59" s="76" t="s">
        <v>81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7" t="s">
        <v>51</v>
      </c>
      <c r="N59" s="77"/>
      <c r="O59" s="77"/>
      <c r="P59" s="77" t="str">
        <f>D28</f>
        <v>Murilo Moraes</v>
      </c>
      <c r="Q59" s="77"/>
      <c r="R59" s="77"/>
      <c r="S59" s="77"/>
      <c r="T59" s="77"/>
    </row>
    <row r="60" spans="2:20" s="19" customFormat="1" ht="14.4" customHeight="1" x14ac:dyDescent="0.3">
      <c r="B60" s="76" t="s">
        <v>82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7" t="s">
        <v>51</v>
      </c>
      <c r="N60" s="77"/>
      <c r="O60" s="77"/>
      <c r="P60" s="77" t="str">
        <f>D28</f>
        <v>Murilo Moraes</v>
      </c>
      <c r="Q60" s="77"/>
      <c r="R60" s="77"/>
      <c r="S60" s="77"/>
      <c r="T60" s="77"/>
    </row>
    <row r="61" spans="2:20" s="19" customFormat="1" x14ac:dyDescent="0.3">
      <c r="B61" s="76" t="s">
        <v>83</v>
      </c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7" t="s">
        <v>51</v>
      </c>
      <c r="N61" s="77"/>
      <c r="O61" s="77"/>
      <c r="P61" s="77" t="str">
        <f>D28</f>
        <v>Murilo Moraes</v>
      </c>
      <c r="Q61" s="77"/>
      <c r="R61" s="77"/>
      <c r="S61" s="77"/>
      <c r="T61" s="77"/>
    </row>
    <row r="62" spans="2:20" s="19" customFormat="1" x14ac:dyDescent="0.3">
      <c r="B62" s="76" t="s">
        <v>84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7" t="s">
        <v>51</v>
      </c>
      <c r="N62" s="77"/>
      <c r="O62" s="77"/>
      <c r="P62" s="77" t="str">
        <f>D28</f>
        <v>Murilo Moraes</v>
      </c>
      <c r="Q62" s="77"/>
      <c r="R62" s="77"/>
      <c r="S62" s="77"/>
      <c r="T62" s="77"/>
    </row>
    <row r="63" spans="2:20" x14ac:dyDescent="0.3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7"/>
      <c r="N63" s="77"/>
      <c r="O63" s="77"/>
      <c r="P63" s="78"/>
      <c r="Q63" s="78"/>
      <c r="R63" s="78"/>
      <c r="S63" s="78"/>
      <c r="T63" s="78"/>
    </row>
    <row r="64" spans="2:20" ht="18" x14ac:dyDescent="0.35">
      <c r="B64" s="4" t="s">
        <v>54</v>
      </c>
    </row>
    <row r="65" spans="2:20" ht="15" customHeight="1" x14ac:dyDescent="0.3">
      <c r="B65" s="83" t="s">
        <v>55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</row>
    <row r="66" spans="2:20" x14ac:dyDescent="0.3">
      <c r="B66" s="84" t="s">
        <v>47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5" t="s">
        <v>56</v>
      </c>
      <c r="N66" s="85"/>
      <c r="O66" s="85"/>
      <c r="P66" s="86" t="s">
        <v>49</v>
      </c>
      <c r="Q66" s="87"/>
      <c r="R66" s="87"/>
      <c r="S66" s="87"/>
      <c r="T66" s="88"/>
    </row>
    <row r="67" spans="2:20" s="19" customFormat="1" ht="15" customHeight="1" x14ac:dyDescent="0.3">
      <c r="B67" s="89" t="s">
        <v>85</v>
      </c>
      <c r="C67" s="90"/>
      <c r="D67" s="90"/>
      <c r="E67" s="90"/>
      <c r="F67" s="90"/>
      <c r="G67" s="90"/>
      <c r="H67" s="90"/>
      <c r="I67" s="90"/>
      <c r="J67" s="90"/>
      <c r="K67" s="90"/>
      <c r="L67" s="91"/>
      <c r="M67" s="79" t="s">
        <v>33</v>
      </c>
      <c r="N67" s="79"/>
      <c r="O67" s="79"/>
      <c r="P67" s="92" t="str">
        <f>D28</f>
        <v>Murilo Moraes</v>
      </c>
      <c r="Q67" s="93"/>
      <c r="R67" s="93"/>
      <c r="S67" s="93"/>
      <c r="T67" s="94"/>
    </row>
    <row r="68" spans="2:20" s="19" customFormat="1" ht="15" customHeight="1" x14ac:dyDescent="0.3">
      <c r="B68" s="74" t="s">
        <v>86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9" t="s">
        <v>33</v>
      </c>
      <c r="N68" s="79"/>
      <c r="O68" s="79"/>
      <c r="P68" s="92" t="str">
        <f>D28</f>
        <v>Murilo Moraes</v>
      </c>
      <c r="Q68" s="93"/>
      <c r="R68" s="93"/>
      <c r="S68" s="93"/>
      <c r="T68" s="94"/>
    </row>
    <row r="69" spans="2:20" s="15" customFormat="1" ht="42" customHeight="1" x14ac:dyDescent="0.3">
      <c r="B69" s="74" t="s">
        <v>87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9" t="s">
        <v>33</v>
      </c>
      <c r="N69" s="79"/>
      <c r="O69" s="79"/>
      <c r="P69" s="80" t="str">
        <f>D28</f>
        <v>Murilo Moraes</v>
      </c>
      <c r="Q69" s="81"/>
      <c r="R69" s="81"/>
      <c r="S69" s="81"/>
      <c r="T69" s="82"/>
    </row>
    <row r="70" spans="2:20" s="15" customFormat="1" ht="31.5" customHeight="1" x14ac:dyDescent="0.3">
      <c r="B70" s="74" t="s">
        <v>88</v>
      </c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9" t="s">
        <v>33</v>
      </c>
      <c r="N70" s="79"/>
      <c r="O70" s="79"/>
      <c r="P70" s="80" t="str">
        <f>D28</f>
        <v>Murilo Moraes</v>
      </c>
      <c r="Q70" s="81"/>
      <c r="R70" s="81"/>
      <c r="S70" s="81"/>
      <c r="T70" s="82"/>
    </row>
    <row r="71" spans="2:20" s="15" customFormat="1" x14ac:dyDescent="0.3">
      <c r="B71" s="74" t="s">
        <v>89</v>
      </c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9" t="s">
        <v>30</v>
      </c>
      <c r="N71" s="79"/>
      <c r="O71" s="79"/>
      <c r="P71" s="80" t="str">
        <f>D28</f>
        <v>Murilo Moraes</v>
      </c>
      <c r="Q71" s="81"/>
      <c r="R71" s="81"/>
      <c r="S71" s="81"/>
      <c r="T71" s="82"/>
    </row>
    <row r="72" spans="2:20" s="19" customFormat="1" ht="37.5" customHeight="1" x14ac:dyDescent="0.3">
      <c r="B72" s="95" t="s">
        <v>90</v>
      </c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79" t="s">
        <v>30</v>
      </c>
      <c r="N72" s="79"/>
      <c r="O72" s="79"/>
      <c r="P72" s="80" t="str">
        <f>D28</f>
        <v>Murilo Moraes</v>
      </c>
      <c r="Q72" s="81"/>
      <c r="R72" s="81"/>
      <c r="S72" s="81"/>
      <c r="T72" s="82"/>
    </row>
    <row r="73" spans="2:20" s="19" customFormat="1" x14ac:dyDescent="0.3">
      <c r="B73" s="76" t="s">
        <v>91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9" t="s">
        <v>33</v>
      </c>
      <c r="N73" s="79"/>
      <c r="O73" s="79"/>
      <c r="P73" s="92" t="str">
        <f>D28</f>
        <v>Murilo Moraes</v>
      </c>
      <c r="Q73" s="93"/>
      <c r="R73" s="93"/>
      <c r="S73" s="93"/>
      <c r="T73" s="94"/>
    </row>
    <row r="74" spans="2:20" s="19" customFormat="1" x14ac:dyDescent="0.3">
      <c r="B74" s="76" t="s">
        <v>92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9" t="s">
        <v>33</v>
      </c>
      <c r="N74" s="79"/>
      <c r="O74" s="79"/>
      <c r="P74" s="92" t="str">
        <f>D28</f>
        <v>Murilo Moraes</v>
      </c>
      <c r="Q74" s="93"/>
      <c r="R74" s="93"/>
      <c r="S74" s="93"/>
      <c r="T74" s="94"/>
    </row>
    <row r="75" spans="2:20" s="19" customFormat="1" x14ac:dyDescent="0.3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9"/>
      <c r="N75" s="79"/>
      <c r="O75" s="79"/>
      <c r="P75" s="92"/>
      <c r="Q75" s="93"/>
      <c r="R75" s="93"/>
      <c r="S75" s="93"/>
      <c r="T75" s="94"/>
    </row>
    <row r="77" spans="2:20" ht="18" x14ac:dyDescent="0.35">
      <c r="B77" s="4" t="s">
        <v>57</v>
      </c>
    </row>
    <row r="78" spans="2:20" x14ac:dyDescent="0.3">
      <c r="B78" s="83" t="s">
        <v>58</v>
      </c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</row>
    <row r="79" spans="2:20" x14ac:dyDescent="0.3"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</row>
    <row r="80" spans="2:20" x14ac:dyDescent="0.3">
      <c r="B80" s="84" t="s">
        <v>47</v>
      </c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97" t="s">
        <v>59</v>
      </c>
      <c r="N80" s="97"/>
      <c r="O80" s="97"/>
      <c r="P80" s="86" t="s">
        <v>49</v>
      </c>
      <c r="Q80" s="87"/>
      <c r="R80" s="87"/>
      <c r="S80" s="87"/>
      <c r="T80" s="88"/>
    </row>
    <row r="81" spans="2:20" s="12" customFormat="1" ht="30.75" customHeight="1" x14ac:dyDescent="0.3">
      <c r="B81" s="74" t="s">
        <v>93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98">
        <v>6.9444444444444447E-4</v>
      </c>
      <c r="N81" s="75"/>
      <c r="O81" s="75"/>
      <c r="P81" s="80" t="str">
        <f>D28</f>
        <v>Murilo Moraes</v>
      </c>
      <c r="Q81" s="81"/>
      <c r="R81" s="81"/>
      <c r="S81" s="81"/>
      <c r="T81" s="82"/>
    </row>
    <row r="82" spans="2:20" s="12" customFormat="1" ht="13.8" x14ac:dyDescent="0.3">
      <c r="B82" s="100" t="s">
        <v>94</v>
      </c>
      <c r="C82" s="101"/>
      <c r="D82" s="101"/>
      <c r="E82" s="101"/>
      <c r="F82" s="101"/>
      <c r="G82" s="101"/>
      <c r="H82" s="101"/>
      <c r="I82" s="101"/>
      <c r="J82" s="101"/>
      <c r="K82" s="101"/>
      <c r="L82" s="102"/>
      <c r="M82" s="99">
        <v>6.9444444444444447E-4</v>
      </c>
      <c r="N82" s="77"/>
      <c r="O82" s="77"/>
      <c r="P82" s="92" t="str">
        <f>D28</f>
        <v>Murilo Moraes</v>
      </c>
      <c r="Q82" s="93"/>
      <c r="R82" s="93"/>
      <c r="S82" s="93"/>
      <c r="T82" s="94"/>
    </row>
    <row r="83" spans="2:20" s="12" customFormat="1" ht="13.8" x14ac:dyDescent="0.3">
      <c r="B83" s="74" t="s">
        <v>95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99">
        <v>3.472222222222222E-3</v>
      </c>
      <c r="N83" s="77"/>
      <c r="O83" s="77"/>
      <c r="P83" s="92" t="str">
        <f>D28</f>
        <v>Murilo Moraes</v>
      </c>
      <c r="Q83" s="93"/>
      <c r="R83" s="93"/>
      <c r="S83" s="93"/>
      <c r="T83" s="94"/>
    </row>
    <row r="84" spans="2:20" s="12" customFormat="1" ht="13.8" x14ac:dyDescent="0.3">
      <c r="B84" s="74" t="s">
        <v>96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99">
        <v>3.472222222222222E-3</v>
      </c>
      <c r="N84" s="77"/>
      <c r="O84" s="77"/>
      <c r="P84" s="92" t="str">
        <f>D28</f>
        <v>Murilo Moraes</v>
      </c>
      <c r="Q84" s="93"/>
      <c r="R84" s="93"/>
      <c r="S84" s="93"/>
      <c r="T84" s="94"/>
    </row>
    <row r="85" spans="2:20" s="12" customFormat="1" ht="13.8" x14ac:dyDescent="0.3">
      <c r="B85" s="74" t="s">
        <v>97</v>
      </c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99">
        <v>2.0833333333333332E-2</v>
      </c>
      <c r="N85" s="77"/>
      <c r="O85" s="77"/>
      <c r="P85" s="92">
        <f>D24</f>
        <v>0</v>
      </c>
      <c r="Q85" s="93"/>
      <c r="R85" s="93"/>
      <c r="S85" s="93"/>
      <c r="T85" s="94"/>
    </row>
    <row r="86" spans="2:20" s="12" customFormat="1" ht="15" customHeight="1" x14ac:dyDescent="0.3"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7"/>
      <c r="N86" s="77"/>
      <c r="O86" s="77"/>
      <c r="P86" s="92"/>
      <c r="Q86" s="93"/>
      <c r="R86" s="93"/>
      <c r="S86" s="93"/>
      <c r="T86" s="94"/>
    </row>
    <row r="87" spans="2:20" s="12" customFormat="1" ht="15" customHeight="1" x14ac:dyDescent="0.35">
      <c r="B87" s="4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spans="2:20" ht="18" x14ac:dyDescent="0.35">
      <c r="B88" s="4" t="s">
        <v>61</v>
      </c>
    </row>
    <row r="89" spans="2:20" ht="15" customHeight="1" x14ac:dyDescent="0.3">
      <c r="B89" s="96" t="s">
        <v>62</v>
      </c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</row>
    <row r="90" spans="2:20" x14ac:dyDescent="0.3">
      <c r="B90" s="84" t="s">
        <v>47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97" t="s">
        <v>59</v>
      </c>
      <c r="N90" s="97"/>
      <c r="O90" s="97"/>
      <c r="P90" s="86" t="s">
        <v>49</v>
      </c>
      <c r="Q90" s="87"/>
      <c r="R90" s="87"/>
      <c r="S90" s="87"/>
      <c r="T90" s="88"/>
    </row>
    <row r="91" spans="2:20" x14ac:dyDescent="0.3">
      <c r="B91" s="74" t="s">
        <v>99</v>
      </c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99">
        <v>4.1666666666666664E-2</v>
      </c>
      <c r="N91" s="77"/>
      <c r="O91" s="77"/>
      <c r="P91" s="92">
        <f>D24</f>
        <v>0</v>
      </c>
      <c r="Q91" s="93"/>
      <c r="R91" s="93"/>
      <c r="S91" s="93"/>
      <c r="T91" s="94"/>
    </row>
    <row r="92" spans="2:20" s="12" customFormat="1" ht="15" customHeight="1" x14ac:dyDescent="0.3">
      <c r="B92" s="100"/>
      <c r="C92" s="101"/>
      <c r="D92" s="101"/>
      <c r="E92" s="101"/>
      <c r="F92" s="101"/>
      <c r="G92" s="101"/>
      <c r="H92" s="101"/>
      <c r="I92" s="101"/>
      <c r="J92" s="101"/>
      <c r="K92" s="101"/>
      <c r="L92" s="102"/>
      <c r="M92" s="99"/>
      <c r="N92" s="77"/>
      <c r="O92" s="77"/>
      <c r="P92" s="92"/>
      <c r="Q92" s="93"/>
      <c r="R92" s="93"/>
      <c r="S92" s="93"/>
      <c r="T92" s="94"/>
    </row>
    <row r="93" spans="2:20" x14ac:dyDescent="0.3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2:20" ht="15" customHeight="1" x14ac:dyDescent="0.35">
      <c r="B94" s="4" t="s">
        <v>64</v>
      </c>
      <c r="C94" s="5"/>
      <c r="D94" s="5"/>
      <c r="E94" s="5"/>
      <c r="F94" s="5"/>
      <c r="G94" s="5"/>
      <c r="H94" s="5"/>
      <c r="I94" s="5"/>
      <c r="J94" s="5"/>
    </row>
    <row r="95" spans="2:20" x14ac:dyDescent="0.3">
      <c r="B95" s="109" t="s">
        <v>0</v>
      </c>
      <c r="C95" s="110"/>
      <c r="D95" s="110"/>
      <c r="E95" s="110"/>
      <c r="F95" s="110"/>
      <c r="G95" s="110"/>
      <c r="H95" s="111"/>
      <c r="I95" s="109" t="s">
        <v>65</v>
      </c>
      <c r="J95" s="110"/>
      <c r="K95" s="110"/>
      <c r="L95" s="111"/>
      <c r="M95" s="86" t="s">
        <v>66</v>
      </c>
      <c r="N95" s="87"/>
      <c r="O95" s="87"/>
      <c r="P95" s="88"/>
      <c r="Q95" s="86" t="s">
        <v>1</v>
      </c>
      <c r="R95" s="87"/>
      <c r="S95" s="87"/>
      <c r="T95" s="88"/>
    </row>
    <row r="96" spans="2:20" x14ac:dyDescent="0.3">
      <c r="B96" s="103" t="str">
        <f>D28</f>
        <v>Murilo Moraes</v>
      </c>
      <c r="C96" s="104"/>
      <c r="D96" s="104"/>
      <c r="E96" s="104"/>
      <c r="F96" s="104"/>
      <c r="G96" s="104"/>
      <c r="H96" s="105"/>
      <c r="I96" s="103" t="s">
        <v>3</v>
      </c>
      <c r="J96" s="104"/>
      <c r="K96" s="104"/>
      <c r="L96" s="105"/>
      <c r="M96" s="106" t="s">
        <v>53</v>
      </c>
      <c r="N96" s="107"/>
      <c r="O96" s="107"/>
      <c r="P96" s="108"/>
      <c r="Q96" s="106" t="s">
        <v>5</v>
      </c>
      <c r="R96" s="107"/>
      <c r="S96" s="107"/>
      <c r="T96" s="108"/>
    </row>
    <row r="97" spans="2:20" ht="15" customHeight="1" x14ac:dyDescent="0.3">
      <c r="B97" s="103" t="s">
        <v>67</v>
      </c>
      <c r="C97" s="104"/>
      <c r="D97" s="104"/>
      <c r="E97" s="104"/>
      <c r="F97" s="104"/>
      <c r="G97" s="104"/>
      <c r="H97" s="105"/>
      <c r="I97" s="103" t="s">
        <v>68</v>
      </c>
      <c r="J97" s="104"/>
      <c r="K97" s="104"/>
      <c r="L97" s="105"/>
      <c r="M97" s="106" t="s">
        <v>53</v>
      </c>
      <c r="N97" s="107"/>
      <c r="O97" s="107"/>
      <c r="P97" s="108"/>
      <c r="Q97" s="106" t="s">
        <v>2</v>
      </c>
      <c r="R97" s="107"/>
      <c r="S97" s="107"/>
      <c r="T97" s="108"/>
    </row>
    <row r="98" spans="2:20" x14ac:dyDescent="0.3">
      <c r="B98" s="103" t="s">
        <v>69</v>
      </c>
      <c r="C98" s="104"/>
      <c r="D98" s="104"/>
      <c r="E98" s="104"/>
      <c r="F98" s="104"/>
      <c r="G98" s="104"/>
      <c r="H98" s="105"/>
      <c r="I98" s="103" t="s">
        <v>70</v>
      </c>
      <c r="J98" s="104"/>
      <c r="K98" s="104"/>
      <c r="L98" s="105"/>
      <c r="M98" s="106" t="s">
        <v>53</v>
      </c>
      <c r="N98" s="107"/>
      <c r="O98" s="107"/>
      <c r="P98" s="108"/>
      <c r="Q98" s="106" t="s">
        <v>5</v>
      </c>
      <c r="R98" s="107"/>
      <c r="S98" s="107"/>
      <c r="T98" s="108"/>
    </row>
    <row r="101" spans="2:20" ht="18" x14ac:dyDescent="0.35">
      <c r="B101" s="4" t="s">
        <v>71</v>
      </c>
      <c r="C101" s="5"/>
      <c r="D101" s="5"/>
      <c r="E101" s="5"/>
      <c r="F101" s="5"/>
      <c r="G101" s="5"/>
      <c r="H101" s="5"/>
      <c r="I101" s="5"/>
      <c r="J101" s="5"/>
    </row>
    <row r="102" spans="2:20" x14ac:dyDescent="0.3">
      <c r="B102" s="121" t="s">
        <v>72</v>
      </c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3"/>
    </row>
    <row r="103" spans="2:20" x14ac:dyDescent="0.3">
      <c r="B103" s="124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6"/>
    </row>
    <row r="104" spans="2:20" x14ac:dyDescent="0.3">
      <c r="B104" s="127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9"/>
    </row>
    <row r="105" spans="2:20" x14ac:dyDescent="0.3">
      <c r="B105" s="127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9"/>
    </row>
    <row r="106" spans="2:20" x14ac:dyDescent="0.3">
      <c r="B106" s="127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9"/>
    </row>
    <row r="107" spans="2:20" x14ac:dyDescent="0.3">
      <c r="B107" s="127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9"/>
    </row>
    <row r="108" spans="2:20" x14ac:dyDescent="0.3">
      <c r="B108" s="127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9"/>
    </row>
    <row r="109" spans="2:20" x14ac:dyDescent="0.3">
      <c r="B109" s="127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9"/>
    </row>
    <row r="110" spans="2:20" x14ac:dyDescent="0.3">
      <c r="B110" s="127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9"/>
    </row>
    <row r="111" spans="2:20" x14ac:dyDescent="0.3">
      <c r="B111" s="127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9"/>
    </row>
    <row r="112" spans="2:20" x14ac:dyDescent="0.3">
      <c r="B112" s="127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9"/>
    </row>
    <row r="113" spans="2:20" x14ac:dyDescent="0.3">
      <c r="B113" s="127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9"/>
    </row>
    <row r="114" spans="2:20" x14ac:dyDescent="0.3">
      <c r="B114" s="127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9"/>
    </row>
    <row r="115" spans="2:20" x14ac:dyDescent="0.3">
      <c r="B115" s="127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9"/>
    </row>
    <row r="116" spans="2:20" x14ac:dyDescent="0.3">
      <c r="B116" s="127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9"/>
    </row>
    <row r="117" spans="2:20" x14ac:dyDescent="0.3">
      <c r="B117" s="127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9"/>
    </row>
    <row r="118" spans="2:20" x14ac:dyDescent="0.3">
      <c r="B118" s="127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9"/>
    </row>
    <row r="119" spans="2:20" x14ac:dyDescent="0.3">
      <c r="B119" s="127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9"/>
    </row>
    <row r="120" spans="2:20" x14ac:dyDescent="0.3"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2:20" x14ac:dyDescent="0.3">
      <c r="B121" s="121" t="s">
        <v>73</v>
      </c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3"/>
    </row>
    <row r="122" spans="2:20" x14ac:dyDescent="0.3">
      <c r="B122" s="124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6"/>
    </row>
    <row r="123" spans="2:20" x14ac:dyDescent="0.3">
      <c r="B123" s="127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9"/>
    </row>
    <row r="124" spans="2:20" x14ac:dyDescent="0.3">
      <c r="B124" s="127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9"/>
    </row>
    <row r="125" spans="2:20" x14ac:dyDescent="0.3">
      <c r="B125" s="127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9"/>
    </row>
    <row r="126" spans="2:20" x14ac:dyDescent="0.3"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9"/>
    </row>
    <row r="127" spans="2:20" x14ac:dyDescent="0.3"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9"/>
    </row>
    <row r="128" spans="2:20" x14ac:dyDescent="0.3"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9"/>
    </row>
    <row r="129" spans="2:20" x14ac:dyDescent="0.3"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9"/>
    </row>
    <row r="130" spans="2:20" x14ac:dyDescent="0.3"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9"/>
    </row>
    <row r="131" spans="2:20" x14ac:dyDescent="0.3"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9"/>
    </row>
    <row r="132" spans="2:20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x14ac:dyDescent="0.3"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9"/>
    </row>
    <row r="134" spans="2:20" x14ac:dyDescent="0.3">
      <c r="B134" s="6"/>
      <c r="C134" s="6"/>
      <c r="D134" s="6"/>
      <c r="E134" s="6"/>
      <c r="F134" s="6"/>
      <c r="G134" s="6"/>
      <c r="H134" s="6"/>
      <c r="I134" s="6"/>
      <c r="J134" s="6"/>
    </row>
    <row r="135" spans="2:20" x14ac:dyDescent="0.3">
      <c r="B135" s="13"/>
    </row>
    <row r="136" spans="2:20" ht="18" x14ac:dyDescent="0.35">
      <c r="B136" s="4" t="s">
        <v>74</v>
      </c>
    </row>
    <row r="137" spans="2:20" x14ac:dyDescent="0.3">
      <c r="B137" s="109" t="s">
        <v>0</v>
      </c>
      <c r="C137" s="110"/>
      <c r="D137" s="110"/>
      <c r="E137" s="110"/>
      <c r="F137" s="110"/>
      <c r="G137" s="111"/>
      <c r="H137" s="109" t="s">
        <v>65</v>
      </c>
      <c r="I137" s="110"/>
      <c r="J137" s="110"/>
      <c r="K137" s="110"/>
      <c r="L137" s="111"/>
      <c r="M137" s="97" t="s">
        <v>66</v>
      </c>
      <c r="N137" s="97"/>
      <c r="O137" s="97"/>
      <c r="P137" s="97"/>
      <c r="Q137" s="86" t="s">
        <v>75</v>
      </c>
      <c r="R137" s="87"/>
      <c r="S137" s="87"/>
      <c r="T137" s="88"/>
    </row>
    <row r="138" spans="2:20" x14ac:dyDescent="0.3">
      <c r="B138" s="112" t="s">
        <v>67</v>
      </c>
      <c r="C138" s="113"/>
      <c r="D138" s="113"/>
      <c r="E138" s="113"/>
      <c r="F138" s="113"/>
      <c r="G138" s="114"/>
      <c r="H138" s="115" t="s">
        <v>76</v>
      </c>
      <c r="I138" s="116"/>
      <c r="J138" s="116"/>
      <c r="K138" s="116"/>
      <c r="L138" s="117"/>
      <c r="M138" s="118" t="s">
        <v>53</v>
      </c>
      <c r="N138" s="119"/>
      <c r="O138" s="119"/>
      <c r="P138" s="120"/>
      <c r="Q138" s="118"/>
      <c r="R138" s="119"/>
      <c r="S138" s="119"/>
      <c r="T138" s="120"/>
    </row>
  </sheetData>
  <sheetProtection selectLockedCells="1"/>
  <mergeCells count="197">
    <mergeCell ref="B138:G138"/>
    <mergeCell ref="H138:L138"/>
    <mergeCell ref="M138:P138"/>
    <mergeCell ref="Q138:T138"/>
    <mergeCell ref="B68:L68"/>
    <mergeCell ref="M68:O68"/>
    <mergeCell ref="P68:T68"/>
    <mergeCell ref="B121:T121"/>
    <mergeCell ref="B122:T133"/>
    <mergeCell ref="B137:G137"/>
    <mergeCell ref="H137:L137"/>
    <mergeCell ref="M137:P137"/>
    <mergeCell ref="Q137:T137"/>
    <mergeCell ref="B98:H98"/>
    <mergeCell ref="I98:L98"/>
    <mergeCell ref="M98:P98"/>
    <mergeCell ref="Q98:T98"/>
    <mergeCell ref="B102:T102"/>
    <mergeCell ref="B103:T119"/>
    <mergeCell ref="B96:H96"/>
    <mergeCell ref="I96:L96"/>
    <mergeCell ref="M96:P96"/>
    <mergeCell ref="Q96:T96"/>
    <mergeCell ref="B97:H97"/>
    <mergeCell ref="I97:L97"/>
    <mergeCell ref="M97:P97"/>
    <mergeCell ref="Q97:T97"/>
    <mergeCell ref="B95:H95"/>
    <mergeCell ref="I95:L95"/>
    <mergeCell ref="M95:P95"/>
    <mergeCell ref="Q95:T95"/>
    <mergeCell ref="B92:L92"/>
    <mergeCell ref="M92:O92"/>
    <mergeCell ref="P92:T92"/>
    <mergeCell ref="B89:T89"/>
    <mergeCell ref="B90:L90"/>
    <mergeCell ref="M90:O90"/>
    <mergeCell ref="P90:T90"/>
    <mergeCell ref="B91:L91"/>
    <mergeCell ref="M91:O91"/>
    <mergeCell ref="P91:T91"/>
    <mergeCell ref="B86:L86"/>
    <mergeCell ref="M86:O86"/>
    <mergeCell ref="P86:T86"/>
    <mergeCell ref="B84:L84"/>
    <mergeCell ref="M84:O84"/>
    <mergeCell ref="P84:T84"/>
    <mergeCell ref="B85:L85"/>
    <mergeCell ref="M85:O85"/>
    <mergeCell ref="P85:T85"/>
    <mergeCell ref="B82:L82"/>
    <mergeCell ref="M82:O82"/>
    <mergeCell ref="P82:T82"/>
    <mergeCell ref="B83:L83"/>
    <mergeCell ref="M83:O83"/>
    <mergeCell ref="P83:T83"/>
    <mergeCell ref="B78:T79"/>
    <mergeCell ref="B80:L80"/>
    <mergeCell ref="M80:O80"/>
    <mergeCell ref="P80:T80"/>
    <mergeCell ref="B81:L81"/>
    <mergeCell ref="M81:O81"/>
    <mergeCell ref="P81:T81"/>
    <mergeCell ref="B75:L75"/>
    <mergeCell ref="M75:O75"/>
    <mergeCell ref="P75:T75"/>
    <mergeCell ref="B73:L73"/>
    <mergeCell ref="M73:O73"/>
    <mergeCell ref="P73:T73"/>
    <mergeCell ref="B74:L74"/>
    <mergeCell ref="M74:O74"/>
    <mergeCell ref="P74:T74"/>
    <mergeCell ref="B71:L71"/>
    <mergeCell ref="M71:O71"/>
    <mergeCell ref="P71:T71"/>
    <mergeCell ref="B72:L72"/>
    <mergeCell ref="M72:O72"/>
    <mergeCell ref="P72:T72"/>
    <mergeCell ref="B69:L69"/>
    <mergeCell ref="M69:O69"/>
    <mergeCell ref="P69:T69"/>
    <mergeCell ref="B70:L70"/>
    <mergeCell ref="M70:O70"/>
    <mergeCell ref="P70:T70"/>
    <mergeCell ref="B65:T65"/>
    <mergeCell ref="B66:L66"/>
    <mergeCell ref="M66:O66"/>
    <mergeCell ref="P66:T66"/>
    <mergeCell ref="B67:L67"/>
    <mergeCell ref="M67:O67"/>
    <mergeCell ref="P67:T67"/>
    <mergeCell ref="B63:L63"/>
    <mergeCell ref="M63:O63"/>
    <mergeCell ref="P63:T63"/>
    <mergeCell ref="B60:L60"/>
    <mergeCell ref="M60:O60"/>
    <mergeCell ref="P60:T60"/>
    <mergeCell ref="B62:L62"/>
    <mergeCell ref="M62:O62"/>
    <mergeCell ref="P62:T62"/>
    <mergeCell ref="B61:L61"/>
    <mergeCell ref="M61:O61"/>
    <mergeCell ref="P61:T61"/>
    <mergeCell ref="B58:L58"/>
    <mergeCell ref="M58:O58"/>
    <mergeCell ref="P58:T58"/>
    <mergeCell ref="B59:L59"/>
    <mergeCell ref="M59:O59"/>
    <mergeCell ref="P59:T59"/>
    <mergeCell ref="B57:L57"/>
    <mergeCell ref="M57:O57"/>
    <mergeCell ref="P57:T57"/>
    <mergeCell ref="B52:H52"/>
    <mergeCell ref="I52:K52"/>
    <mergeCell ref="L52:M52"/>
    <mergeCell ref="N52:T52"/>
    <mergeCell ref="B53:H53"/>
    <mergeCell ref="I53:K53"/>
    <mergeCell ref="L53:M53"/>
    <mergeCell ref="N53:T53"/>
    <mergeCell ref="B50:H50"/>
    <mergeCell ref="I50:K50"/>
    <mergeCell ref="L50:M50"/>
    <mergeCell ref="N50:T50"/>
    <mergeCell ref="B51:H51"/>
    <mergeCell ref="I51:K51"/>
    <mergeCell ref="L51:M51"/>
    <mergeCell ref="N51:T51"/>
    <mergeCell ref="B46:K46"/>
    <mergeCell ref="L46:T46"/>
    <mergeCell ref="B47:E47"/>
    <mergeCell ref="F47:J47"/>
    <mergeCell ref="B49:H49"/>
    <mergeCell ref="I49:K49"/>
    <mergeCell ref="L49:M49"/>
    <mergeCell ref="N49:T49"/>
    <mergeCell ref="B43:K43"/>
    <mergeCell ref="L43:T43"/>
    <mergeCell ref="B44:K44"/>
    <mergeCell ref="L44:T44"/>
    <mergeCell ref="B45:K45"/>
    <mergeCell ref="L45:T45"/>
    <mergeCell ref="B40:K40"/>
    <mergeCell ref="L40:T40"/>
    <mergeCell ref="B41:K41"/>
    <mergeCell ref="L41:T41"/>
    <mergeCell ref="B42:K42"/>
    <mergeCell ref="L42:T42"/>
    <mergeCell ref="B35:H35"/>
    <mergeCell ref="I35:J35"/>
    <mergeCell ref="L35:T35"/>
    <mergeCell ref="B36:H36"/>
    <mergeCell ref="I36:J36"/>
    <mergeCell ref="L36:T36"/>
    <mergeCell ref="B32:F32"/>
    <mergeCell ref="G32:J32"/>
    <mergeCell ref="L32:P32"/>
    <mergeCell ref="Q32:T32"/>
    <mergeCell ref="B33:F33"/>
    <mergeCell ref="G33:J33"/>
    <mergeCell ref="L33:T33"/>
    <mergeCell ref="D28:J28"/>
    <mergeCell ref="L28:M28"/>
    <mergeCell ref="N28:T28"/>
    <mergeCell ref="D29:J29"/>
    <mergeCell ref="L29:M29"/>
    <mergeCell ref="N29:T29"/>
    <mergeCell ref="D25:J25"/>
    <mergeCell ref="L25:M25"/>
    <mergeCell ref="N25:T25"/>
    <mergeCell ref="B18:J18"/>
    <mergeCell ref="K18:T18"/>
    <mergeCell ref="B19:J19"/>
    <mergeCell ref="K19:T19"/>
    <mergeCell ref="B20:J20"/>
    <mergeCell ref="K20:T20"/>
    <mergeCell ref="B17:J17"/>
    <mergeCell ref="K17:T17"/>
    <mergeCell ref="B10:F10"/>
    <mergeCell ref="G10:T10"/>
    <mergeCell ref="B11:F11"/>
    <mergeCell ref="G11:T11"/>
    <mergeCell ref="B12:F12"/>
    <mergeCell ref="G12:T12"/>
    <mergeCell ref="D24:J24"/>
    <mergeCell ref="L24:M24"/>
    <mergeCell ref="N24:T24"/>
    <mergeCell ref="B5:I5"/>
    <mergeCell ref="J5:T5"/>
    <mergeCell ref="B6:I6"/>
    <mergeCell ref="J6:T6"/>
    <mergeCell ref="B7:I7"/>
    <mergeCell ref="J7:T7"/>
    <mergeCell ref="B15:J15"/>
    <mergeCell ref="K15:T15"/>
    <mergeCell ref="B16:J16"/>
    <mergeCell ref="K16:T16"/>
  </mergeCells>
  <conditionalFormatting sqref="B40:B46">
    <cfRule type="notContainsBlanks" dxfId="341" priority="33">
      <formula>LEN(TRIM(B40))&gt;0</formula>
    </cfRule>
  </conditionalFormatting>
  <conditionalFormatting sqref="D24:J25">
    <cfRule type="containsBlanks" dxfId="340" priority="14">
      <formula>LEN(TRIM(D24))=0</formula>
    </cfRule>
  </conditionalFormatting>
  <conditionalFormatting sqref="D28:J29">
    <cfRule type="containsBlanks" dxfId="339" priority="2">
      <formula>LEN(TRIM(D28))=0</formula>
    </cfRule>
  </conditionalFormatting>
  <conditionalFormatting sqref="G32:J33">
    <cfRule type="containsBlanks" dxfId="338" priority="10">
      <formula>LEN(TRIM(G32))=0</formula>
    </cfRule>
  </conditionalFormatting>
  <conditionalFormatting sqref="G10:T10">
    <cfRule type="containsBlanks" dxfId="337" priority="17">
      <formula>LEN(TRIM(G10))=0</formula>
    </cfRule>
  </conditionalFormatting>
  <conditionalFormatting sqref="G11:T12">
    <cfRule type="containsBlanks" dxfId="336" priority="28">
      <formula>LEN(TRIM(G11))=0</formula>
    </cfRule>
  </conditionalFormatting>
  <conditionalFormatting sqref="I35:I36">
    <cfRule type="containsBlanks" dxfId="335" priority="6">
      <formula>LEN(TRIM(I35))=0</formula>
    </cfRule>
  </conditionalFormatting>
  <conditionalFormatting sqref="J5:T5">
    <cfRule type="containsText" dxfId="334" priority="32" operator="containsText" text="Nome do Cliente">
      <formula>NOT(ISERROR(SEARCH("Nome do Cliente",J5)))</formula>
    </cfRule>
  </conditionalFormatting>
  <conditionalFormatting sqref="J5:T7">
    <cfRule type="containsBlanks" dxfId="333" priority="30">
      <formula>LEN(TRIM(J5))=0</formula>
    </cfRule>
  </conditionalFormatting>
  <conditionalFormatting sqref="J6:T6">
    <cfRule type="containsText" dxfId="332" priority="31" operator="containsText" text="01/01/2023">
      <formula>NOT(ISERROR(SEARCH("01/01/2023",J6)))</formula>
    </cfRule>
  </conditionalFormatting>
  <conditionalFormatting sqref="J7:T7">
    <cfRule type="containsText" dxfId="331" priority="29" operator="containsText" text="Nome do solicitante">
      <formula>NOT(ISERROR(SEARCH("Nome do solicitante",J7)))</formula>
    </cfRule>
  </conditionalFormatting>
  <conditionalFormatting sqref="L39">
    <cfRule type="notContainsBlanks" dxfId="330" priority="35">
      <formula>LEN(TRIM(L39))&gt;0</formula>
    </cfRule>
  </conditionalFormatting>
  <conditionalFormatting sqref="L33:T33">
    <cfRule type="beginsWith" dxfId="328" priority="7" operator="beginsWith" text="ABORTAR">
      <formula>LEFT(L33,LEN("ABORTAR"))="ABORTAR"</formula>
    </cfRule>
    <cfRule type="beginsWith" dxfId="327" priority="8" operator="beginsWith" text="Print">
      <formula>LEFT(L33,LEN("Print"))="Print"</formula>
    </cfRule>
    <cfRule type="beginsWith" dxfId="326" priority="9" operator="beginsWith" text="ALERTA">
      <formula>LEFT(L33,LEN("ALERTA"))="ALERTA"</formula>
    </cfRule>
  </conditionalFormatting>
  <conditionalFormatting sqref="L35:T36">
    <cfRule type="beginsWith" dxfId="325" priority="3" operator="beginsWith" text="ABORTAR">
      <formula>LEFT(L35,LEN("ABORTAR"))="ABORTAR"</formula>
    </cfRule>
    <cfRule type="beginsWith" dxfId="324" priority="4" operator="beginsWith" text="Print">
      <formula>LEFT(L35,LEN("Print"))="Print"</formula>
    </cfRule>
    <cfRule type="beginsWith" dxfId="323" priority="5" operator="beginsWith" text="ALERTA">
      <formula>LEFT(L35,LEN("ALERTA"))="ALERTA"</formula>
    </cfRule>
  </conditionalFormatting>
  <conditionalFormatting sqref="L40:T40">
    <cfRule type="expression" dxfId="322" priority="27">
      <formula>$B$40&lt;&gt;""</formula>
    </cfRule>
    <cfRule type="expression" dxfId="321" priority="26">
      <formula>AND($B$40&lt;&gt;"",$L$40="")</formula>
    </cfRule>
  </conditionalFormatting>
  <conditionalFormatting sqref="L41:T41">
    <cfRule type="expression" dxfId="320" priority="25">
      <formula>AND($B$41&lt;&gt;"",$L$41="")</formula>
    </cfRule>
  </conditionalFormatting>
  <conditionalFormatting sqref="L41:T46">
    <cfRule type="notContainsBlanks" dxfId="319" priority="19">
      <formula>LEN(TRIM(L41))&gt;0</formula>
    </cfRule>
  </conditionalFormatting>
  <conditionalFormatting sqref="L42:T42">
    <cfRule type="expression" dxfId="318" priority="24">
      <formula>AND($B$42&lt;&gt;"",$L$42="")</formula>
    </cfRule>
  </conditionalFormatting>
  <conditionalFormatting sqref="L43:T43">
    <cfRule type="expression" dxfId="317" priority="23">
      <formula>AND($B$43&lt;&gt;"",$L$43="")</formula>
    </cfRule>
  </conditionalFormatting>
  <conditionalFormatting sqref="L44:T44">
    <cfRule type="expression" dxfId="316" priority="22">
      <formula>AND($B$44&lt;&gt;"",$L$44="")</formula>
    </cfRule>
  </conditionalFormatting>
  <conditionalFormatting sqref="L45:T45">
    <cfRule type="expression" dxfId="315" priority="21">
      <formula>AND($B$45&lt;&gt;"",$L$45="")</formula>
    </cfRule>
  </conditionalFormatting>
  <conditionalFormatting sqref="L46:T46">
    <cfRule type="expression" dxfId="314" priority="20">
      <formula>AND($B$46&lt;&gt;"",$L$46="")</formula>
    </cfRule>
  </conditionalFormatting>
  <conditionalFormatting sqref="N24:T25">
    <cfRule type="containsBlanks" dxfId="313" priority="16">
      <formula>LEN(TRIM(N24))=0</formula>
    </cfRule>
  </conditionalFormatting>
  <conditionalFormatting sqref="N28:T29">
    <cfRule type="containsBlanks" dxfId="312" priority="1">
      <formula>LEN(TRIM(N28))=0</formula>
    </cfRule>
  </conditionalFormatting>
  <conditionalFormatting sqref="Q32:T32">
    <cfRule type="containsBlanks" dxfId="311" priority="11">
      <formula>LEN(TRIM(Q32))=0</formula>
    </cfRule>
  </conditionalFormatting>
  <conditionalFormatting sqref="Q138:T138">
    <cfRule type="containsBlanks" dxfId="310" priority="18">
      <formula>LEN(TRIM(Q138))=0</formula>
    </cfRule>
  </conditionalFormatting>
  <dataValidations count="9">
    <dataValidation type="list" allowBlank="1" showInputMessage="1" showErrorMessage="1" sqref="B138:G138" xr:uid="{D69540AF-F20A-4F5D-8566-528C1C875505}">
      <formula1>"Wilson Kempim Jr."</formula1>
    </dataValidation>
    <dataValidation type="list" allowBlank="1" showInputMessage="1" showErrorMessage="1" sqref="Q32:T32" xr:uid="{465DBDBA-7F98-4981-B5BF-586BF7750EA3}">
      <formula1>"WINDOWS,LINUX,WINDOWS &amp; LINUX"</formula1>
    </dataValidation>
    <dataValidation type="list" allowBlank="1" showInputMessage="1" showErrorMessage="1" sqref="G32:J32" xr:uid="{DF67AC84-8238-498E-9585-75DA49E41D95}">
      <formula1>"PRODUÇÃO,HOMOLOGAÇÃO,TESTES,TREINAMENTO,DESENVOLVIMENTO"</formula1>
    </dataValidation>
    <dataValidation type="list" allowBlank="1" showInputMessage="1" showErrorMessage="1" sqref="Q138:T138" xr:uid="{2292950C-F3DD-4E07-9103-9FAC292A193A}">
      <formula1>"APROVADO,REPROVADO"</formula1>
    </dataValidation>
    <dataValidation type="list" allowBlank="1" showInputMessage="1" showErrorMessage="1" sqref="M58:O63" xr:uid="{63CDABE7-4E55-41BC-AD04-C0915FDA45C9}">
      <formula1>"NECESSÁRIO,OBRIGATÓRIO"</formula1>
    </dataValidation>
    <dataValidation type="list" allowBlank="1" showInputMessage="1" showErrorMessage="1" sqref="L50:M53" xr:uid="{EE95A455-47FA-4961-AA71-669144D40CED}">
      <formula1>"ALTO,MÉDIO,BAIXO"</formula1>
    </dataValidation>
    <dataValidation type="list" allowBlank="1" showInputMessage="1" showErrorMessage="1" sqref="I50:K53" xr:uid="{426A2C74-BCCF-4964-8496-9B3EF27A43CA}">
      <formula1>"ALTA,MÉDIA,BAIXA"</formula1>
    </dataValidation>
    <dataValidation type="list" allowBlank="1" showInputMessage="1" showErrorMessage="1" sqref="G11" xr:uid="{8911B2C5-B4ED-4789-8AF0-2971E8553865}">
      <formula1>"PROGRAMADA,EMERGENCIAL"</formula1>
    </dataValidation>
    <dataValidation type="list" allowBlank="1" showInputMessage="1" showErrorMessage="1" sqref="I33:I36 S37:S38 G33:H34 J33:J34 I38 M67:O75" xr:uid="{E50EDBDA-8464-4358-A1D1-EFBA4F87CA82}">
      <formula1>"SIM,NÃO"</formula1>
    </dataValidation>
  </dataValidations>
  <pageMargins left="0.25" right="0.25" top="0.75" bottom="0.75" header="0.3" footer="0.3"/>
  <pageSetup paperSize="5" orientation="portrait" r:id="rId1"/>
  <headerFooter differentFirst="1">
    <oddHeader>&amp;L&amp;G</oddHeader>
    <oddFooter>&amp;RPágina &amp;P de &amp;N</oddFooter>
    <firstHeader>&amp;L&amp;G</firstHeader>
    <firstFooter>&amp;RPágina &amp;P de &amp;N</first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85168083-D176-4E10-863A-5866CCAD4F4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4" operator="containsText" id="{CCE8A7D8-154A-41C7-A3E0-343F97613B84}">
            <xm:f>NOT(ISERROR(SEARCH("Risco de perda de dados sem o flashback!",L39)))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887D64-3250-429D-A229-8EB0599F78F7}">
          <x14:formula1>
            <xm:f>#REF!</xm:f>
          </x14:formula1>
          <xm:sqref>D28:J28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EE11-F16D-4BB6-A670-817304183926}">
  <dimension ref="A1:X170"/>
  <sheetViews>
    <sheetView showGridLines="0" topLeftCell="A144" zoomScale="85" zoomScaleNormal="85" workbookViewId="0">
      <selection activeCell="M122" activeCellId="6" sqref="P95:T95 P97:T97 P106:T106 P107:T107 P120:T120 P121:T121 M122:T122"/>
    </sheetView>
  </sheetViews>
  <sheetFormatPr defaultColWidth="8.88671875" defaultRowHeight="14.4" x14ac:dyDescent="0.3"/>
  <cols>
    <col min="1" max="1" width="1.6640625" customWidth="1"/>
    <col min="2" max="7" width="5.109375" customWidth="1"/>
    <col min="8" max="8" width="10.88671875" customWidth="1"/>
    <col min="9" max="11" width="5.109375" customWidth="1"/>
    <col min="12" max="12" width="21.109375" customWidth="1"/>
    <col min="13" max="20" width="5.109375" customWidth="1"/>
    <col min="21" max="22" width="1.6640625" customWidth="1"/>
    <col min="27" max="27" width="12.109375" bestFit="1" customWidth="1"/>
    <col min="28" max="28" width="107.6640625" bestFit="1" customWidth="1"/>
  </cols>
  <sheetData>
    <row r="1" spans="2:20" x14ac:dyDescent="0.3">
      <c r="B1" s="161" t="e" vm="1">
        <v>#VALUE!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2:20" x14ac:dyDescent="0.3">
      <c r="B2" s="161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2:20" x14ac:dyDescent="0.3">
      <c r="B3" s="163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</row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  <c r="K4" s="69"/>
      <c r="L4" s="70"/>
      <c r="M4" s="70"/>
      <c r="N4" s="70"/>
      <c r="O4" s="70"/>
      <c r="P4" s="70"/>
      <c r="Q4" s="70"/>
      <c r="R4" s="70"/>
      <c r="S4" s="70"/>
      <c r="T4" s="70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156"/>
      <c r="K8" s="52"/>
      <c r="L8" s="52"/>
      <c r="M8" s="52"/>
      <c r="N8" s="52"/>
      <c r="O8" s="52"/>
      <c r="P8" s="52"/>
      <c r="Q8" s="52"/>
      <c r="R8" s="52"/>
      <c r="S8" s="52"/>
      <c r="T8" s="52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69"/>
      <c r="K9" s="70"/>
      <c r="L9" s="70"/>
      <c r="M9" s="70"/>
      <c r="N9" s="70"/>
      <c r="O9" s="70"/>
      <c r="P9" s="70"/>
      <c r="Q9" s="70"/>
      <c r="R9" s="70"/>
      <c r="S9" s="70"/>
      <c r="T9" s="70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 t="s">
        <v>100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 t="s">
        <v>101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  <c r="K13" s="156"/>
      <c r="L13" s="52"/>
      <c r="M13" s="52"/>
      <c r="N13" s="52"/>
      <c r="O13" s="52"/>
      <c r="P13" s="52"/>
      <c r="Q13" s="52"/>
      <c r="R13" s="52"/>
      <c r="S13" s="52"/>
      <c r="T13" s="52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  <c r="K14" s="69"/>
      <c r="L14" s="70"/>
      <c r="M14" s="70"/>
      <c r="N14" s="70"/>
      <c r="O14" s="70"/>
      <c r="P14" s="70"/>
      <c r="Q14" s="70"/>
      <c r="R14" s="70"/>
      <c r="S14" s="70"/>
      <c r="T14" s="70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ht="14.4" customHeight="1" x14ac:dyDescent="0.3">
      <c r="B16" s="39" t="s">
        <v>102</v>
      </c>
      <c r="C16" s="40"/>
      <c r="D16" s="40"/>
      <c r="E16" s="40"/>
      <c r="F16" s="40"/>
      <c r="G16" s="40"/>
      <c r="H16" s="40"/>
      <c r="I16" s="40"/>
      <c r="J16" s="41"/>
      <c r="K16" s="39" t="s">
        <v>103</v>
      </c>
      <c r="L16" s="40"/>
      <c r="M16" s="40"/>
      <c r="N16" s="40"/>
      <c r="O16" s="40"/>
      <c r="P16" s="40"/>
      <c r="Q16" s="40"/>
      <c r="R16" s="40"/>
      <c r="S16" s="40"/>
      <c r="T16" s="40"/>
    </row>
    <row r="17" spans="2:24" ht="14.4" customHeight="1" x14ac:dyDescent="0.3">
      <c r="B17" s="39" t="s">
        <v>104</v>
      </c>
      <c r="C17" s="40"/>
      <c r="D17" s="40"/>
      <c r="E17" s="40"/>
      <c r="F17" s="40"/>
      <c r="G17" s="40"/>
      <c r="H17" s="40"/>
      <c r="I17" s="40"/>
      <c r="J17" s="41"/>
      <c r="K17" s="39" t="s">
        <v>103</v>
      </c>
      <c r="L17" s="40"/>
      <c r="M17" s="40"/>
      <c r="N17" s="40"/>
      <c r="O17" s="40"/>
      <c r="P17" s="40"/>
      <c r="Q17" s="40"/>
      <c r="R17" s="40"/>
      <c r="S17" s="40"/>
      <c r="T17" s="40"/>
    </row>
    <row r="18" spans="2:24" ht="14.4" customHeight="1" x14ac:dyDescent="0.3">
      <c r="B18" s="39" t="s">
        <v>105</v>
      </c>
      <c r="C18" s="40"/>
      <c r="D18" s="40"/>
      <c r="E18" s="40"/>
      <c r="F18" s="40"/>
      <c r="G18" s="40"/>
      <c r="H18" s="40"/>
      <c r="I18" s="40"/>
      <c r="J18" s="41"/>
      <c r="K18" s="39" t="s">
        <v>103</v>
      </c>
      <c r="L18" s="40"/>
      <c r="M18" s="40"/>
      <c r="N18" s="40"/>
      <c r="O18" s="40"/>
      <c r="P18" s="40"/>
      <c r="Q18" s="40"/>
      <c r="R18" s="40"/>
      <c r="S18" s="40"/>
      <c r="T18" s="40"/>
    </row>
    <row r="19" spans="2:24" ht="14.4" customHeight="1" x14ac:dyDescent="0.3">
      <c r="B19" s="39" t="s">
        <v>106</v>
      </c>
      <c r="C19" s="40"/>
      <c r="D19" s="40"/>
      <c r="E19" s="40"/>
      <c r="F19" s="40"/>
      <c r="G19" s="40"/>
      <c r="H19" s="40"/>
      <c r="I19" s="40"/>
      <c r="J19" s="41"/>
      <c r="K19" s="39" t="s">
        <v>103</v>
      </c>
      <c r="L19" s="40"/>
      <c r="M19" s="40"/>
      <c r="N19" s="40"/>
      <c r="O19" s="40"/>
      <c r="P19" s="40"/>
      <c r="Q19" s="40"/>
      <c r="R19" s="40"/>
      <c r="S19" s="40"/>
      <c r="T19" s="40"/>
    </row>
    <row r="20" spans="2:24" ht="14.4" customHeight="1" x14ac:dyDescent="0.3">
      <c r="B20" s="39" t="s">
        <v>107</v>
      </c>
      <c r="C20" s="40"/>
      <c r="D20" s="40"/>
      <c r="E20" s="40"/>
      <c r="F20" s="40"/>
      <c r="G20" s="40"/>
      <c r="H20" s="40"/>
      <c r="I20" s="40"/>
      <c r="J20" s="41"/>
      <c r="K20" s="39" t="s">
        <v>103</v>
      </c>
      <c r="L20" s="40"/>
      <c r="M20" s="40"/>
      <c r="N20" s="40"/>
      <c r="O20" s="40"/>
      <c r="P20" s="40"/>
      <c r="Q20" s="40"/>
      <c r="R20" s="40"/>
      <c r="S20" s="40"/>
      <c r="T20" s="40"/>
    </row>
    <row r="21" spans="2:24" x14ac:dyDescent="0.3">
      <c r="B21" s="6"/>
      <c r="C21" s="6"/>
      <c r="D21" s="6"/>
      <c r="E21" s="6"/>
      <c r="F21" s="6"/>
      <c r="G21" s="6"/>
      <c r="H21" s="6"/>
      <c r="I21" s="6"/>
      <c r="J21" s="6"/>
      <c r="K21" s="156"/>
      <c r="L21" s="52"/>
      <c r="M21" s="52"/>
      <c r="N21" s="52"/>
      <c r="O21" s="52"/>
      <c r="P21" s="52"/>
      <c r="Q21" s="52"/>
      <c r="R21" s="52"/>
      <c r="S21" s="52"/>
      <c r="T21" s="52"/>
    </row>
    <row r="22" spans="2:24" ht="18" x14ac:dyDescent="0.35">
      <c r="B22" s="1" t="s">
        <v>17</v>
      </c>
      <c r="C22" s="2"/>
      <c r="D22" s="2"/>
      <c r="E22" s="2"/>
      <c r="G22" s="2"/>
      <c r="H22" s="2"/>
      <c r="I22" s="2"/>
      <c r="J22" s="2"/>
      <c r="K22" s="157"/>
      <c r="L22" s="160"/>
      <c r="M22" s="160"/>
      <c r="N22" s="160"/>
      <c r="O22" s="160"/>
      <c r="P22" s="160"/>
      <c r="Q22" s="160"/>
      <c r="R22" s="160"/>
      <c r="S22" s="160"/>
      <c r="T22" s="160"/>
    </row>
    <row r="23" spans="2:24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  <c r="K23" s="157"/>
      <c r="L23" s="160"/>
      <c r="M23" s="160"/>
      <c r="N23" s="160"/>
      <c r="O23" s="160"/>
      <c r="P23" s="160"/>
      <c r="Q23" s="160"/>
      <c r="R23" s="160"/>
      <c r="S23" s="160"/>
      <c r="T23" s="160"/>
    </row>
    <row r="24" spans="2:24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K24" s="156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4" ht="16.2" x14ac:dyDescent="0.35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K25" s="157"/>
      <c r="L25" s="48" t="s">
        <v>22</v>
      </c>
      <c r="M25" s="49"/>
      <c r="N25" s="155"/>
      <c r="O25" s="46"/>
      <c r="P25" s="46"/>
      <c r="Q25" s="46"/>
      <c r="R25" s="46"/>
      <c r="S25" s="46"/>
      <c r="T25" s="47"/>
      <c r="X25" s="25"/>
    </row>
    <row r="26" spans="2:24" ht="16.2" x14ac:dyDescent="0.35">
      <c r="B26" s="2"/>
      <c r="C26" s="2"/>
      <c r="D26" s="2"/>
      <c r="E26" s="2"/>
      <c r="F26" s="2"/>
      <c r="G26" s="2"/>
      <c r="H26" s="2"/>
      <c r="I26" s="2"/>
      <c r="J26" s="2"/>
      <c r="K26" s="157"/>
      <c r="L26" s="5"/>
      <c r="M26" s="5"/>
      <c r="N26" s="5"/>
      <c r="O26" s="5"/>
      <c r="P26" s="5"/>
      <c r="Q26" s="5"/>
      <c r="R26" s="5"/>
      <c r="S26" s="5"/>
      <c r="T26" s="5"/>
      <c r="X26" s="25"/>
    </row>
    <row r="27" spans="2:24" x14ac:dyDescent="0.3">
      <c r="B27" s="153" t="s">
        <v>108</v>
      </c>
      <c r="C27" s="154"/>
      <c r="D27" s="154"/>
      <c r="E27" s="154"/>
      <c r="F27" s="154"/>
      <c r="G27" s="154"/>
      <c r="H27" s="154"/>
      <c r="I27" s="154"/>
      <c r="J27" s="154"/>
      <c r="K27" s="156"/>
      <c r="L27" s="24"/>
      <c r="M27" s="24"/>
      <c r="N27" s="24"/>
      <c r="O27" s="24"/>
      <c r="P27" s="24"/>
      <c r="Q27" s="24"/>
      <c r="R27" s="24"/>
      <c r="S27" s="24"/>
      <c r="T27" s="24"/>
    </row>
    <row r="28" spans="2:24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K28" s="157"/>
      <c r="L28" s="158" t="s">
        <v>20</v>
      </c>
      <c r="M28" s="159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4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K29" s="15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4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4" x14ac:dyDescent="0.3">
      <c r="B31" s="153" t="s">
        <v>109</v>
      </c>
      <c r="C31" s="154"/>
      <c r="D31" s="154"/>
      <c r="E31" s="154"/>
      <c r="F31" s="154"/>
      <c r="G31" s="154"/>
      <c r="H31" s="154"/>
      <c r="I31" s="154"/>
      <c r="J31" s="154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4" x14ac:dyDescent="0.3">
      <c r="B32" s="16" t="s">
        <v>19</v>
      </c>
      <c r="C32" s="16"/>
      <c r="D32" s="45"/>
      <c r="E32" s="46"/>
      <c r="F32" s="46"/>
      <c r="G32" s="46"/>
      <c r="H32" s="46"/>
      <c r="I32" s="46"/>
      <c r="J32" s="47"/>
      <c r="K32" s="5"/>
      <c r="L32" s="48" t="s">
        <v>20</v>
      </c>
      <c r="M32" s="53"/>
      <c r="N32" s="45"/>
      <c r="O32" s="46"/>
      <c r="P32" s="46"/>
      <c r="Q32" s="46"/>
      <c r="R32" s="46"/>
      <c r="S32" s="46"/>
      <c r="T32" s="47"/>
    </row>
    <row r="33" spans="2:20" x14ac:dyDescent="0.3">
      <c r="B33" s="16" t="s">
        <v>21</v>
      </c>
      <c r="C33" s="16"/>
      <c r="D33" s="45"/>
      <c r="E33" s="46"/>
      <c r="F33" s="46"/>
      <c r="G33" s="46"/>
      <c r="H33" s="46"/>
      <c r="I33" s="46"/>
      <c r="J33" s="47"/>
      <c r="K33" s="5"/>
      <c r="L33" s="48" t="s">
        <v>22</v>
      </c>
      <c r="M33" s="53"/>
      <c r="N33" s="155"/>
      <c r="O33" s="46"/>
      <c r="P33" s="46"/>
      <c r="Q33" s="46"/>
      <c r="R33" s="46"/>
      <c r="S33" s="46"/>
      <c r="T33" s="47"/>
    </row>
    <row r="34" spans="2:20" x14ac:dyDescent="0.3">
      <c r="B34" s="2"/>
      <c r="C34" s="2"/>
      <c r="D34" s="2"/>
      <c r="E34" s="2"/>
      <c r="F34" s="2"/>
      <c r="G34" s="2"/>
      <c r="H34" s="2"/>
      <c r="I34" s="2"/>
      <c r="J34" s="2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 ht="18" x14ac:dyDescent="0.35">
      <c r="B35" s="1" t="s">
        <v>24</v>
      </c>
      <c r="C35" s="2"/>
      <c r="D35" s="2"/>
      <c r="E35" s="2"/>
      <c r="F35" s="2"/>
      <c r="G35" s="2"/>
      <c r="H35" s="2"/>
      <c r="I35" s="2"/>
      <c r="J35" s="2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 x14ac:dyDescent="0.3">
      <c r="B36" s="48" t="s">
        <v>25</v>
      </c>
      <c r="C36" s="49"/>
      <c r="D36" s="49"/>
      <c r="E36" s="49"/>
      <c r="F36" s="49"/>
      <c r="G36" s="43" t="s">
        <v>26</v>
      </c>
      <c r="H36" s="43"/>
      <c r="I36" s="43"/>
      <c r="J36" s="43"/>
      <c r="K36" s="5"/>
      <c r="L36" s="50" t="s">
        <v>110</v>
      </c>
      <c r="M36" s="50"/>
      <c r="N36" s="50"/>
      <c r="O36" s="50"/>
      <c r="P36" s="50"/>
      <c r="Q36" s="43" t="s">
        <v>30</v>
      </c>
      <c r="R36" s="43"/>
      <c r="S36" s="43"/>
      <c r="T36" s="43"/>
    </row>
    <row r="37" spans="2:20" ht="39.75" customHeight="1" x14ac:dyDescent="0.3">
      <c r="B37" s="149" t="s">
        <v>111</v>
      </c>
      <c r="C37" s="150"/>
      <c r="D37" s="150"/>
      <c r="E37" s="150"/>
      <c r="F37" s="150"/>
      <c r="G37" s="151" t="s">
        <v>30</v>
      </c>
      <c r="H37" s="151"/>
      <c r="I37" s="151"/>
      <c r="J37" s="151"/>
      <c r="K37" s="5"/>
      <c r="L37" s="152" t="s">
        <v>112</v>
      </c>
      <c r="M37" s="152"/>
      <c r="N37" s="152"/>
      <c r="O37" s="152"/>
      <c r="P37" s="152"/>
      <c r="Q37" s="151" t="s">
        <v>30</v>
      </c>
      <c r="R37" s="151"/>
      <c r="S37" s="151"/>
      <c r="T37" s="151"/>
    </row>
    <row r="38" spans="2:20" x14ac:dyDescent="0.3">
      <c r="B38" s="59" t="s">
        <v>113</v>
      </c>
      <c r="C38" s="60"/>
      <c r="D38" s="60"/>
      <c r="E38" s="60"/>
      <c r="F38" s="60"/>
      <c r="G38" s="60"/>
      <c r="H38" s="60"/>
      <c r="I38" s="43" t="s">
        <v>30</v>
      </c>
      <c r="J38" s="43"/>
      <c r="K38" s="5"/>
      <c r="L38" s="50" t="s">
        <v>114</v>
      </c>
      <c r="M38" s="50"/>
      <c r="N38" s="50"/>
      <c r="O38" s="50"/>
      <c r="P38" s="50"/>
      <c r="Q38" s="43" t="s">
        <v>30</v>
      </c>
      <c r="R38" s="43"/>
      <c r="S38" s="43"/>
      <c r="T38" s="43"/>
    </row>
    <row r="39" spans="2:20" ht="15" customHeight="1" x14ac:dyDescent="0.3">
      <c r="B39" s="146" t="str">
        <f>IF(I38="SIM","Ambiente com backup íntegro","ATENÇÃO: AMBIENTE SEM BACKUP ÍNTEGRO")</f>
        <v>Ambiente com backup íntegro</v>
      </c>
      <c r="C39" s="147"/>
      <c r="D39" s="147"/>
      <c r="E39" s="147"/>
      <c r="F39" s="147"/>
      <c r="G39" s="147"/>
      <c r="H39" s="147"/>
      <c r="I39" s="147"/>
      <c r="J39" s="148"/>
      <c r="K39" s="5"/>
      <c r="L39" s="146" t="str">
        <f>IF(Q38="SIM","Ambiente protegido por Dataguard/Standby.","ATENÇÃO: AMBIENTE SEM REDUNDÂNCIA DE DADOS")</f>
        <v>Ambiente protegido por Dataguard/Standby.</v>
      </c>
      <c r="M39" s="147"/>
      <c r="N39" s="147"/>
      <c r="O39" s="147"/>
      <c r="P39" s="147"/>
      <c r="Q39" s="147"/>
      <c r="R39" s="147"/>
      <c r="S39" s="147"/>
      <c r="T39" s="148"/>
    </row>
    <row r="40" spans="2:20" x14ac:dyDescent="0.3">
      <c r="B40" s="143" t="s">
        <v>115</v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5"/>
    </row>
    <row r="41" spans="2:20" ht="18" x14ac:dyDescent="0.35">
      <c r="B41" s="1" t="s">
        <v>35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 x14ac:dyDescent="0.3">
      <c r="B42" s="54" t="s">
        <v>116</v>
      </c>
      <c r="C42" s="54"/>
      <c r="D42" s="54"/>
      <c r="E42" s="54"/>
      <c r="F42" s="54"/>
      <c r="G42" s="54"/>
      <c r="H42" s="54"/>
      <c r="I42" s="54"/>
      <c r="J42" s="54"/>
      <c r="K42" s="54"/>
      <c r="L42" s="55" t="s">
        <v>117</v>
      </c>
      <c r="M42" s="55"/>
      <c r="N42" s="55"/>
      <c r="O42" s="55"/>
      <c r="P42" s="55"/>
      <c r="Q42" s="55"/>
      <c r="R42" s="55"/>
      <c r="S42" s="55"/>
      <c r="T42" s="55"/>
    </row>
    <row r="43" spans="2:20" x14ac:dyDescent="0.3">
      <c r="B43" s="54" t="s">
        <v>116</v>
      </c>
      <c r="C43" s="54"/>
      <c r="D43" s="54"/>
      <c r="E43" s="54"/>
      <c r="F43" s="54"/>
      <c r="G43" s="54"/>
      <c r="H43" s="54"/>
      <c r="I43" s="54"/>
      <c r="J43" s="54"/>
      <c r="K43" s="54"/>
      <c r="L43" s="56" t="s">
        <v>118</v>
      </c>
      <c r="M43" s="56"/>
      <c r="N43" s="56"/>
      <c r="O43" s="56"/>
      <c r="P43" s="56"/>
      <c r="Q43" s="56"/>
      <c r="R43" s="56"/>
      <c r="S43" s="56"/>
      <c r="T43" s="56"/>
    </row>
    <row r="44" spans="2:20" x14ac:dyDescent="0.3">
      <c r="B44" s="54" t="str">
        <f>IF(L43&lt;&gt;"","Tempo total de execução:","")</f>
        <v>Tempo total de execução:</v>
      </c>
      <c r="C44" s="54"/>
      <c r="D44" s="54"/>
      <c r="E44" s="54"/>
      <c r="F44" s="54"/>
      <c r="G44" s="54"/>
      <c r="H44" s="54"/>
      <c r="I44" s="54"/>
      <c r="J44" s="54"/>
      <c r="K44" s="54"/>
      <c r="L44" s="57">
        <v>0.125</v>
      </c>
      <c r="M44" s="58"/>
      <c r="N44" s="58"/>
      <c r="O44" s="58"/>
      <c r="P44" s="58"/>
      <c r="Q44" s="58"/>
      <c r="R44" s="58"/>
      <c r="S44" s="58"/>
      <c r="T44" s="58"/>
    </row>
    <row r="45" spans="2:20" x14ac:dyDescent="0.3">
      <c r="B45" s="54" t="str">
        <f>IF(L44&lt;&gt;"","Tempo total de paralização:","")</f>
        <v>Tempo total de paralização: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0.125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testes","")</f>
        <v>Tempo total para testes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4.1666666666666664E-2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54" t="str">
        <f>IF(L46&lt;&gt;"","Tempo total para tentativa de correções:","")</f>
        <v>Tempo total para tentativa de correções:</v>
      </c>
      <c r="C47" s="54"/>
      <c r="D47" s="54"/>
      <c r="E47" s="54"/>
      <c r="F47" s="54"/>
      <c r="G47" s="54"/>
      <c r="H47" s="54"/>
      <c r="I47" s="54"/>
      <c r="J47" s="54"/>
      <c r="K47" s="54"/>
      <c r="L47" s="63">
        <v>2.0833333333333332E-2</v>
      </c>
      <c r="M47" s="64"/>
      <c r="N47" s="64"/>
      <c r="O47" s="64"/>
      <c r="P47" s="64"/>
      <c r="Q47" s="64"/>
      <c r="R47" s="64"/>
      <c r="S47" s="64"/>
      <c r="T47" s="65"/>
    </row>
    <row r="48" spans="2:20" x14ac:dyDescent="0.3">
      <c r="B48" s="54" t="s">
        <v>119</v>
      </c>
      <c r="C48" s="54"/>
      <c r="D48" s="54"/>
      <c r="E48" s="54"/>
      <c r="F48" s="54"/>
      <c r="G48" s="54"/>
      <c r="H48" s="54"/>
      <c r="I48" s="54"/>
      <c r="J48" s="54"/>
      <c r="K48" s="54"/>
      <c r="L48" s="63">
        <v>0.41666666666666669</v>
      </c>
      <c r="M48" s="64"/>
      <c r="N48" s="64"/>
      <c r="O48" s="64"/>
      <c r="P48" s="64"/>
      <c r="Q48" s="64"/>
      <c r="R48" s="64"/>
      <c r="S48" s="64"/>
      <c r="T48" s="65"/>
    </row>
    <row r="49" spans="2:20" x14ac:dyDescent="0.3">
      <c r="B49" s="66"/>
      <c r="C49" s="67"/>
      <c r="D49" s="67"/>
      <c r="E49" s="6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 ht="18" x14ac:dyDescent="0.35">
      <c r="B50" s="1" t="s">
        <v>37</v>
      </c>
      <c r="C50" s="1"/>
      <c r="D50" s="1"/>
      <c r="E50" s="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 ht="15" customHeight="1" x14ac:dyDescent="0.3">
      <c r="B51" s="26" t="s">
        <v>120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 s="19" customFormat="1" x14ac:dyDescent="0.3">
      <c r="B52" s="72" t="s">
        <v>38</v>
      </c>
      <c r="C52" s="72"/>
      <c r="D52" s="72"/>
      <c r="E52" s="72"/>
      <c r="F52" s="72"/>
      <c r="G52" s="72"/>
      <c r="H52" s="72"/>
      <c r="I52" s="73" t="s">
        <v>39</v>
      </c>
      <c r="J52" s="73"/>
      <c r="K52" s="73"/>
      <c r="L52" s="73" t="s">
        <v>40</v>
      </c>
      <c r="M52" s="73"/>
      <c r="N52" s="72" t="s">
        <v>41</v>
      </c>
      <c r="O52" s="72"/>
      <c r="P52" s="72"/>
      <c r="Q52" s="72"/>
      <c r="R52" s="72"/>
      <c r="S52" s="72"/>
      <c r="T52" s="72"/>
    </row>
    <row r="53" spans="2:20" s="19" customFormat="1" ht="29.25" customHeight="1" x14ac:dyDescent="0.3">
      <c r="B53" s="74" t="s">
        <v>121</v>
      </c>
      <c r="C53" s="74"/>
      <c r="D53" s="74"/>
      <c r="E53" s="74"/>
      <c r="F53" s="74"/>
      <c r="G53" s="74"/>
      <c r="H53" s="74"/>
      <c r="I53" s="75" t="s">
        <v>122</v>
      </c>
      <c r="J53" s="75"/>
      <c r="K53" s="75"/>
      <c r="L53" s="75" t="s">
        <v>44</v>
      </c>
      <c r="M53" s="75"/>
      <c r="N53" s="74" t="s">
        <v>123</v>
      </c>
      <c r="O53" s="74"/>
      <c r="P53" s="74"/>
      <c r="Q53" s="74"/>
      <c r="R53" s="74"/>
      <c r="S53" s="74"/>
      <c r="T53" s="74"/>
    </row>
    <row r="54" spans="2:20" s="19" customFormat="1" ht="30" customHeight="1" x14ac:dyDescent="0.3">
      <c r="B54" s="74" t="s">
        <v>124</v>
      </c>
      <c r="C54" s="74"/>
      <c r="D54" s="74"/>
      <c r="E54" s="74"/>
      <c r="F54" s="74"/>
      <c r="G54" s="74"/>
      <c r="H54" s="74"/>
      <c r="I54" s="75" t="s">
        <v>122</v>
      </c>
      <c r="J54" s="75"/>
      <c r="K54" s="75"/>
      <c r="L54" s="75" t="s">
        <v>44</v>
      </c>
      <c r="M54" s="75"/>
      <c r="N54" s="74" t="s">
        <v>123</v>
      </c>
      <c r="O54" s="74"/>
      <c r="P54" s="74"/>
      <c r="Q54" s="74"/>
      <c r="R54" s="74"/>
      <c r="S54" s="74"/>
      <c r="T54" s="74"/>
    </row>
    <row r="55" spans="2:20" s="19" customFormat="1" ht="17.25" customHeight="1" x14ac:dyDescent="0.3">
      <c r="B55" s="74" t="s">
        <v>125</v>
      </c>
      <c r="C55" s="74"/>
      <c r="D55" s="74"/>
      <c r="E55" s="74"/>
      <c r="F55" s="74"/>
      <c r="G55" s="74"/>
      <c r="H55" s="74"/>
      <c r="I55" s="75" t="s">
        <v>43</v>
      </c>
      <c r="J55" s="75"/>
      <c r="K55" s="75"/>
      <c r="L55" s="75" t="s">
        <v>44</v>
      </c>
      <c r="M55" s="75"/>
      <c r="N55" s="74" t="s">
        <v>126</v>
      </c>
      <c r="O55" s="74"/>
      <c r="P55" s="74"/>
      <c r="Q55" s="74"/>
      <c r="R55" s="74"/>
      <c r="S55" s="74"/>
      <c r="T55" s="74"/>
    </row>
    <row r="56" spans="2:20" s="19" customFormat="1" ht="33" customHeight="1" x14ac:dyDescent="0.3">
      <c r="B56" s="74" t="s">
        <v>127</v>
      </c>
      <c r="C56" s="74"/>
      <c r="D56" s="74"/>
      <c r="E56" s="74"/>
      <c r="F56" s="74"/>
      <c r="G56" s="74"/>
      <c r="H56" s="74"/>
      <c r="I56" s="75" t="s">
        <v>43</v>
      </c>
      <c r="J56" s="75"/>
      <c r="K56" s="75"/>
      <c r="L56" s="75" t="s">
        <v>44</v>
      </c>
      <c r="M56" s="75"/>
      <c r="N56" s="74" t="s">
        <v>128</v>
      </c>
      <c r="O56" s="74"/>
      <c r="P56" s="74"/>
      <c r="Q56" s="74"/>
      <c r="R56" s="74"/>
      <c r="S56" s="74"/>
      <c r="T56" s="74"/>
    </row>
    <row r="57" spans="2:20" s="19" customFormat="1" ht="27.75" customHeight="1" x14ac:dyDescent="0.3">
      <c r="B57" s="74" t="s">
        <v>129</v>
      </c>
      <c r="C57" s="74"/>
      <c r="D57" s="74"/>
      <c r="E57" s="74"/>
      <c r="F57" s="74"/>
      <c r="G57" s="74"/>
      <c r="H57" s="74"/>
      <c r="I57" s="75" t="s">
        <v>122</v>
      </c>
      <c r="J57" s="75"/>
      <c r="K57" s="75"/>
      <c r="L57" s="75" t="s">
        <v>44</v>
      </c>
      <c r="M57" s="75"/>
      <c r="N57" s="74" t="s">
        <v>126</v>
      </c>
      <c r="O57" s="74"/>
      <c r="P57" s="74"/>
      <c r="Q57" s="74"/>
      <c r="R57" s="74"/>
      <c r="S57" s="74"/>
      <c r="T57" s="74"/>
    </row>
    <row r="58" spans="2:20" s="19" customFormat="1" ht="30" customHeight="1" x14ac:dyDescent="0.3">
      <c r="B58" s="74" t="s">
        <v>130</v>
      </c>
      <c r="C58" s="74"/>
      <c r="D58" s="74"/>
      <c r="E58" s="74"/>
      <c r="F58" s="74"/>
      <c r="G58" s="74"/>
      <c r="H58" s="74"/>
      <c r="I58" s="75" t="s">
        <v>131</v>
      </c>
      <c r="J58" s="75"/>
      <c r="K58" s="75"/>
      <c r="L58" s="75" t="s">
        <v>44</v>
      </c>
      <c r="M58" s="75"/>
      <c r="N58" s="74" t="s">
        <v>132</v>
      </c>
      <c r="O58" s="74"/>
      <c r="P58" s="74"/>
      <c r="Q58" s="74"/>
      <c r="R58" s="74"/>
      <c r="S58" s="74"/>
      <c r="T58" s="74"/>
    </row>
    <row r="59" spans="2:20" s="19" customFormat="1" ht="15" customHeight="1" x14ac:dyDescent="0.3">
      <c r="B59" s="74" t="s">
        <v>133</v>
      </c>
      <c r="C59" s="74"/>
      <c r="D59" s="74"/>
      <c r="E59" s="74"/>
      <c r="F59" s="74"/>
      <c r="G59" s="74"/>
      <c r="H59" s="74"/>
      <c r="I59" s="75" t="s">
        <v>131</v>
      </c>
      <c r="J59" s="75"/>
      <c r="K59" s="75"/>
      <c r="L59" s="75" t="s">
        <v>44</v>
      </c>
      <c r="M59" s="75"/>
      <c r="N59" s="74" t="s">
        <v>132</v>
      </c>
      <c r="O59" s="74"/>
      <c r="P59" s="74"/>
      <c r="Q59" s="74"/>
      <c r="R59" s="74"/>
      <c r="S59" s="74"/>
      <c r="T59" s="74"/>
    </row>
    <row r="60" spans="2:20" s="19" customFormat="1" x14ac:dyDescent="0.3">
      <c r="B60" s="74" t="s">
        <v>134</v>
      </c>
      <c r="C60" s="74"/>
      <c r="D60" s="74"/>
      <c r="E60" s="74"/>
      <c r="F60" s="74"/>
      <c r="G60" s="74"/>
      <c r="H60" s="74"/>
      <c r="I60" s="75" t="s">
        <v>131</v>
      </c>
      <c r="J60" s="75"/>
      <c r="K60" s="75"/>
      <c r="L60" s="75" t="s">
        <v>44</v>
      </c>
      <c r="M60" s="75"/>
      <c r="N60" s="74" t="s">
        <v>132</v>
      </c>
      <c r="O60" s="74"/>
      <c r="P60" s="74"/>
      <c r="Q60" s="74"/>
      <c r="R60" s="74"/>
      <c r="S60" s="74"/>
      <c r="T60" s="74"/>
    </row>
    <row r="61" spans="2:20" s="19" customFormat="1" x14ac:dyDescent="0.3">
      <c r="B61" s="74" t="s">
        <v>135</v>
      </c>
      <c r="C61" s="74"/>
      <c r="D61" s="74"/>
      <c r="E61" s="74"/>
      <c r="F61" s="74"/>
      <c r="G61" s="74"/>
      <c r="H61" s="74"/>
      <c r="I61" s="75" t="s">
        <v>131</v>
      </c>
      <c r="J61" s="75"/>
      <c r="K61" s="75"/>
      <c r="L61" s="75" t="s">
        <v>44</v>
      </c>
      <c r="M61" s="75"/>
      <c r="N61" s="74" t="s">
        <v>132</v>
      </c>
      <c r="O61" s="74"/>
      <c r="P61" s="74"/>
      <c r="Q61" s="74"/>
      <c r="R61" s="74"/>
      <c r="S61" s="74"/>
      <c r="T61" s="74"/>
    </row>
    <row r="62" spans="2:20" s="19" customFormat="1" ht="87" customHeight="1" x14ac:dyDescent="0.3">
      <c r="B62" s="74" t="s">
        <v>136</v>
      </c>
      <c r="C62" s="74"/>
      <c r="D62" s="74"/>
      <c r="E62" s="74"/>
      <c r="F62" s="74"/>
      <c r="G62" s="74"/>
      <c r="H62" s="74"/>
      <c r="I62" s="75" t="s">
        <v>131</v>
      </c>
      <c r="J62" s="75"/>
      <c r="K62" s="75"/>
      <c r="L62" s="75" t="s">
        <v>44</v>
      </c>
      <c r="M62" s="75"/>
      <c r="N62" s="74" t="s">
        <v>132</v>
      </c>
      <c r="O62" s="74"/>
      <c r="P62" s="74"/>
      <c r="Q62" s="74"/>
      <c r="R62" s="74"/>
      <c r="S62" s="74"/>
      <c r="T62" s="74"/>
    </row>
    <row r="63" spans="2:20" x14ac:dyDescent="0.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 x14ac:dyDescent="0.3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 ht="18" x14ac:dyDescent="0.35">
      <c r="B65" s="1" t="s">
        <v>46</v>
      </c>
      <c r="C65" s="1"/>
      <c r="D65" s="1"/>
      <c r="E65" s="1"/>
      <c r="F65" s="1"/>
      <c r="G65" s="1"/>
      <c r="H65" s="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ht="15" customHeight="1" x14ac:dyDescent="0.3">
      <c r="B66" s="26" t="s">
        <v>137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s="19" customFormat="1" x14ac:dyDescent="0.3">
      <c r="B67" s="72" t="s">
        <v>47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3" t="s">
        <v>48</v>
      </c>
      <c r="N67" s="73"/>
      <c r="O67" s="73"/>
      <c r="P67" s="73" t="s">
        <v>49</v>
      </c>
      <c r="Q67" s="73"/>
      <c r="R67" s="73"/>
      <c r="S67" s="73"/>
      <c r="T67" s="73"/>
    </row>
    <row r="68" spans="1:20" s="19" customFormat="1" ht="15" customHeight="1" x14ac:dyDescent="0.3">
      <c r="B68" s="76" t="s">
        <v>138</v>
      </c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7" t="s">
        <v>51</v>
      </c>
      <c r="N68" s="77"/>
      <c r="O68" s="77"/>
      <c r="P68" s="77" t="s">
        <v>139</v>
      </c>
      <c r="Q68" s="77"/>
      <c r="R68" s="77"/>
      <c r="S68" s="77"/>
      <c r="T68" s="77"/>
    </row>
    <row r="69" spans="1:20" s="19" customFormat="1" x14ac:dyDescent="0.3">
      <c r="B69" s="76" t="s">
        <v>140</v>
      </c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7" t="s">
        <v>51</v>
      </c>
      <c r="N69" s="77"/>
      <c r="O69" s="77"/>
      <c r="P69" s="77">
        <f t="shared" ref="P69:P71" si="0">$D$24</f>
        <v>0</v>
      </c>
      <c r="Q69" s="77"/>
      <c r="R69" s="77"/>
      <c r="S69" s="77"/>
      <c r="T69" s="77"/>
    </row>
    <row r="70" spans="1:20" s="19" customFormat="1" x14ac:dyDescent="0.3">
      <c r="B70" s="76" t="s">
        <v>141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7" t="s">
        <v>51</v>
      </c>
      <c r="N70" s="77"/>
      <c r="O70" s="77"/>
      <c r="P70" s="77">
        <f t="shared" si="0"/>
        <v>0</v>
      </c>
      <c r="Q70" s="77"/>
      <c r="R70" s="77"/>
      <c r="S70" s="77"/>
      <c r="T70" s="77"/>
    </row>
    <row r="71" spans="1:20" s="19" customFormat="1" x14ac:dyDescent="0.3">
      <c r="A71" s="19" t="s">
        <v>142</v>
      </c>
      <c r="B71" s="76" t="s">
        <v>143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7" t="s">
        <v>51</v>
      </c>
      <c r="N71" s="77"/>
      <c r="O71" s="77"/>
      <c r="P71" s="77">
        <f t="shared" si="0"/>
        <v>0</v>
      </c>
      <c r="Q71" s="77"/>
      <c r="R71" s="77"/>
      <c r="S71" s="77"/>
      <c r="T71" s="77"/>
    </row>
    <row r="72" spans="1:20" x14ac:dyDescent="0.3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ht="18" x14ac:dyDescent="0.35">
      <c r="B73" s="1" t="s">
        <v>54</v>
      </c>
      <c r="C73" s="1"/>
      <c r="D73" s="1"/>
      <c r="E73" s="1"/>
      <c r="F73" s="1"/>
      <c r="G73" s="1"/>
      <c r="H73" s="1"/>
      <c r="I73" s="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ht="15" customHeight="1" x14ac:dyDescent="0.3">
      <c r="B74" s="26" t="s">
        <v>144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 spans="1:20" x14ac:dyDescent="0.3">
      <c r="B75" s="84" t="s">
        <v>47</v>
      </c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5" t="s">
        <v>56</v>
      </c>
      <c r="N75" s="85"/>
      <c r="O75" s="85"/>
      <c r="P75" s="86" t="s">
        <v>49</v>
      </c>
      <c r="Q75" s="87"/>
      <c r="R75" s="87"/>
      <c r="S75" s="87"/>
      <c r="T75" s="88"/>
    </row>
    <row r="76" spans="1:20" s="19" customFormat="1" ht="15" customHeight="1" x14ac:dyDescent="0.3">
      <c r="B76" s="89" t="s">
        <v>145</v>
      </c>
      <c r="C76" s="90"/>
      <c r="D76" s="90"/>
      <c r="E76" s="90"/>
      <c r="F76" s="90"/>
      <c r="G76" s="90"/>
      <c r="H76" s="90"/>
      <c r="I76" s="90"/>
      <c r="J76" s="90"/>
      <c r="K76" s="90"/>
      <c r="L76" s="91"/>
      <c r="M76" s="79" t="s">
        <v>33</v>
      </c>
      <c r="N76" s="79"/>
      <c r="O76" s="79"/>
      <c r="P76" s="75" t="str">
        <f>D28</f>
        <v>Murilo Moraes</v>
      </c>
      <c r="Q76" s="75"/>
      <c r="R76" s="75"/>
      <c r="S76" s="75"/>
      <c r="T76" s="75"/>
    </row>
    <row r="77" spans="1:20" s="19" customFormat="1" ht="28.5" customHeight="1" x14ac:dyDescent="0.3">
      <c r="B77" s="100" t="s">
        <v>146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2"/>
      <c r="M77" s="79" t="s">
        <v>33</v>
      </c>
      <c r="N77" s="79"/>
      <c r="O77" s="79"/>
      <c r="P77" s="75" t="str">
        <f>D28</f>
        <v>Murilo Moraes</v>
      </c>
      <c r="Q77" s="75"/>
      <c r="R77" s="75"/>
      <c r="S77" s="75"/>
      <c r="T77" s="75"/>
    </row>
    <row r="78" spans="1:20" s="15" customFormat="1" ht="15" customHeight="1" x14ac:dyDescent="0.3">
      <c r="B78" s="74" t="s">
        <v>147</v>
      </c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9" t="s">
        <v>33</v>
      </c>
      <c r="N78" s="79"/>
      <c r="O78" s="79"/>
      <c r="P78" s="75" t="str">
        <f>D28</f>
        <v>Murilo Moraes</v>
      </c>
      <c r="Q78" s="75"/>
      <c r="R78" s="75"/>
      <c r="S78" s="75"/>
      <c r="T78" s="75"/>
    </row>
    <row r="79" spans="1:20" s="19" customFormat="1" ht="15.75" customHeight="1" x14ac:dyDescent="0.3">
      <c r="B79" s="76" t="s">
        <v>148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 t="s">
        <v>33</v>
      </c>
      <c r="N79" s="79"/>
      <c r="O79" s="79"/>
      <c r="P79" s="75" t="str">
        <f>D28</f>
        <v>Murilo Moraes</v>
      </c>
      <c r="Q79" s="75"/>
      <c r="R79" s="75"/>
      <c r="S79" s="75"/>
      <c r="T79" s="75"/>
    </row>
    <row r="80" spans="1:20" s="19" customFormat="1" ht="33.75" customHeight="1" x14ac:dyDescent="0.3">
      <c r="B80" s="76" t="s">
        <v>149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9" t="s">
        <v>33</v>
      </c>
      <c r="N80" s="79"/>
      <c r="O80" s="79"/>
      <c r="P80" s="75" t="str">
        <f>D28</f>
        <v>Murilo Moraes</v>
      </c>
      <c r="Q80" s="75"/>
      <c r="R80" s="75"/>
      <c r="S80" s="75"/>
      <c r="T80" s="75"/>
    </row>
    <row r="81" spans="2:20" s="19" customFormat="1" ht="15.75" customHeight="1" x14ac:dyDescent="0.3">
      <c r="B81" s="76" t="s">
        <v>150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9" t="s">
        <v>33</v>
      </c>
      <c r="N81" s="79"/>
      <c r="O81" s="79"/>
      <c r="P81" s="75" t="str">
        <f>D28</f>
        <v>Murilo Moraes</v>
      </c>
      <c r="Q81" s="75"/>
      <c r="R81" s="75"/>
      <c r="S81" s="75"/>
      <c r="T81" s="75"/>
    </row>
    <row r="82" spans="2:20" s="19" customFormat="1" ht="15.75" customHeight="1" x14ac:dyDescent="0.3">
      <c r="B82" s="76" t="s">
        <v>151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 t="s">
        <v>30</v>
      </c>
      <c r="N82" s="79"/>
      <c r="O82" s="79"/>
      <c r="P82" s="75" t="str">
        <f>D28</f>
        <v>Murilo Moraes</v>
      </c>
      <c r="Q82" s="75"/>
      <c r="R82" s="75"/>
      <c r="S82" s="75"/>
      <c r="T82" s="75"/>
    </row>
    <row r="83" spans="2:20" s="19" customFormat="1" ht="71.25" customHeight="1" x14ac:dyDescent="0.3">
      <c r="B83" s="74" t="s">
        <v>152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9" t="s">
        <v>30</v>
      </c>
      <c r="N83" s="79"/>
      <c r="O83" s="79"/>
      <c r="P83" s="75" t="str">
        <f>D28</f>
        <v>Murilo Moraes</v>
      </c>
      <c r="Q83" s="75"/>
      <c r="R83" s="75"/>
      <c r="S83" s="75"/>
      <c r="T83" s="75"/>
    </row>
    <row r="84" spans="2:20" s="19" customFormat="1" x14ac:dyDescent="0.3">
      <c r="B84" s="76" t="s">
        <v>153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 t="s">
        <v>30</v>
      </c>
      <c r="N84" s="79"/>
      <c r="O84" s="79"/>
      <c r="P84" s="75" t="str">
        <f>D28</f>
        <v>Murilo Moraes</v>
      </c>
      <c r="Q84" s="75"/>
      <c r="R84" s="75"/>
      <c r="S84" s="75"/>
      <c r="T84" s="75"/>
    </row>
    <row r="85" spans="2:20" s="19" customFormat="1" ht="15" customHeight="1" x14ac:dyDescent="0.3">
      <c r="B85" s="76" t="s">
        <v>154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9" t="s">
        <v>30</v>
      </c>
      <c r="N85" s="79"/>
      <c r="O85" s="79"/>
      <c r="P85" s="75" t="str">
        <f>D28</f>
        <v>Murilo Moraes</v>
      </c>
      <c r="Q85" s="75"/>
      <c r="R85" s="75"/>
      <c r="S85" s="75"/>
      <c r="T85" s="75"/>
    </row>
    <row r="86" spans="2:20" s="19" customFormat="1" x14ac:dyDescent="0.3">
      <c r="B86" s="76" t="s">
        <v>155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9" t="s">
        <v>30</v>
      </c>
      <c r="N86" s="79"/>
      <c r="O86" s="79"/>
      <c r="P86" s="75" t="str">
        <f>D28</f>
        <v>Murilo Moraes</v>
      </c>
      <c r="Q86" s="75"/>
      <c r="R86" s="75"/>
      <c r="S86" s="75"/>
      <c r="T86" s="75"/>
    </row>
    <row r="87" spans="2:20" s="19" customFormat="1" ht="14.4" customHeight="1" x14ac:dyDescent="0.3">
      <c r="B87" s="76" t="s">
        <v>156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9" t="s">
        <v>30</v>
      </c>
      <c r="N87" s="79"/>
      <c r="O87" s="79"/>
      <c r="P87" s="75" t="str">
        <f>D28</f>
        <v>Murilo Moraes</v>
      </c>
      <c r="Q87" s="75"/>
      <c r="R87" s="75"/>
      <c r="S87" s="75"/>
      <c r="T87" s="75"/>
    </row>
    <row r="88" spans="2:20" s="19" customFormat="1" x14ac:dyDescent="0.3">
      <c r="B88" s="76" t="s">
        <v>157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9" t="s">
        <v>30</v>
      </c>
      <c r="N88" s="79"/>
      <c r="O88" s="79"/>
      <c r="P88" s="75" t="str">
        <f>D28</f>
        <v>Murilo Moraes</v>
      </c>
      <c r="Q88" s="75"/>
      <c r="R88" s="75"/>
      <c r="S88" s="75"/>
      <c r="T88" s="75"/>
    </row>
    <row r="89" spans="2:20" s="19" customFormat="1" x14ac:dyDescent="0.3">
      <c r="B89" s="76" t="s">
        <v>158</v>
      </c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9" t="s">
        <v>30</v>
      </c>
      <c r="N89" s="79"/>
      <c r="O89" s="79"/>
      <c r="P89" s="75" t="str">
        <f>D28</f>
        <v>Murilo Moraes</v>
      </c>
      <c r="Q89" s="75"/>
      <c r="R89" s="75"/>
      <c r="S89" s="75"/>
      <c r="T89" s="75"/>
    </row>
    <row r="90" spans="2:20" s="19" customFormat="1" ht="14.4" customHeight="1" x14ac:dyDescent="0.3">
      <c r="B90" s="76" t="s">
        <v>159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9" t="s">
        <v>30</v>
      </c>
      <c r="N90" s="79"/>
      <c r="O90" s="79"/>
      <c r="P90" s="75" t="str">
        <f>D28</f>
        <v>Murilo Moraes</v>
      </c>
      <c r="Q90" s="75"/>
      <c r="R90" s="75"/>
      <c r="S90" s="75"/>
      <c r="T90" s="75"/>
    </row>
    <row r="91" spans="2:20" s="19" customFormat="1" ht="68.25" customHeight="1" x14ac:dyDescent="0.3">
      <c r="B91" s="142" t="s">
        <v>160</v>
      </c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79" t="s">
        <v>30</v>
      </c>
      <c r="N91" s="79"/>
      <c r="O91" s="79"/>
      <c r="P91" s="75" t="str">
        <f>D28</f>
        <v>Murilo Moraes</v>
      </c>
      <c r="Q91" s="75"/>
      <c r="R91" s="75"/>
      <c r="S91" s="75"/>
      <c r="T91" s="75"/>
    </row>
    <row r="92" spans="2:20" s="19" customFormat="1" ht="15" customHeight="1" x14ac:dyDescent="0.3">
      <c r="B92" s="76" t="s">
        <v>161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9" t="s">
        <v>30</v>
      </c>
      <c r="N92" s="79"/>
      <c r="O92" s="79"/>
      <c r="P92" s="75" t="str">
        <f>D28</f>
        <v>Murilo Moraes</v>
      </c>
      <c r="Q92" s="75"/>
      <c r="R92" s="75"/>
      <c r="S92" s="75"/>
      <c r="T92" s="75"/>
    </row>
    <row r="93" spans="2:20" s="19" customFormat="1" ht="15" customHeight="1" x14ac:dyDescent="0.3">
      <c r="B93" s="76" t="s">
        <v>162</v>
      </c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9" t="s">
        <v>30</v>
      </c>
      <c r="N93" s="79"/>
      <c r="O93" s="79"/>
      <c r="P93" s="75" t="str">
        <f>D28</f>
        <v>Murilo Moraes</v>
      </c>
      <c r="Q93" s="75"/>
      <c r="R93" s="75"/>
      <c r="S93" s="75"/>
      <c r="T93" s="75"/>
    </row>
    <row r="94" spans="2:20" s="19" customFormat="1" ht="32.25" customHeight="1" x14ac:dyDescent="0.3">
      <c r="B94" s="74" t="s">
        <v>163</v>
      </c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9" t="s">
        <v>33</v>
      </c>
      <c r="N94" s="79"/>
      <c r="O94" s="79"/>
      <c r="P94" s="75" t="str">
        <f>D28</f>
        <v>Murilo Moraes</v>
      </c>
      <c r="Q94" s="75"/>
      <c r="R94" s="75"/>
      <c r="S94" s="75"/>
      <c r="T94" s="75"/>
    </row>
    <row r="95" spans="2:20" s="19" customFormat="1" ht="69" customHeight="1" x14ac:dyDescent="0.3">
      <c r="B95" s="95" t="s">
        <v>164</v>
      </c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79" t="s">
        <v>33</v>
      </c>
      <c r="N95" s="79"/>
      <c r="O95" s="79"/>
      <c r="P95" s="80">
        <f t="shared" ref="P95" si="1">$D$24</f>
        <v>0</v>
      </c>
      <c r="Q95" s="81"/>
      <c r="R95" s="81"/>
      <c r="S95" s="81"/>
      <c r="T95" s="82"/>
    </row>
    <row r="96" spans="2:20" s="19" customFormat="1" ht="15" customHeight="1" x14ac:dyDescent="0.3">
      <c r="B96" s="76" t="s">
        <v>165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9" t="s">
        <v>33</v>
      </c>
      <c r="N96" s="79"/>
      <c r="O96" s="79"/>
      <c r="P96" s="75" t="str">
        <f>D28</f>
        <v>Murilo Moraes</v>
      </c>
      <c r="Q96" s="75"/>
      <c r="R96" s="75"/>
      <c r="S96" s="75"/>
      <c r="T96" s="75"/>
    </row>
    <row r="97" spans="2:20" s="19" customFormat="1" ht="15" customHeight="1" x14ac:dyDescent="0.3">
      <c r="B97" s="76" t="s">
        <v>166</v>
      </c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9" t="s">
        <v>33</v>
      </c>
      <c r="N97" s="79"/>
      <c r="O97" s="79"/>
      <c r="P97" s="80">
        <f t="shared" ref="P97" si="2">$D$24</f>
        <v>0</v>
      </c>
      <c r="Q97" s="81"/>
      <c r="R97" s="81"/>
      <c r="S97" s="81"/>
      <c r="T97" s="82"/>
    </row>
    <row r="98" spans="2:20" s="19" customFormat="1" ht="16.350000000000001" customHeight="1" x14ac:dyDescent="0.3">
      <c r="B98" s="89"/>
      <c r="C98" s="90"/>
      <c r="D98" s="90"/>
      <c r="E98" s="90"/>
      <c r="F98" s="90"/>
      <c r="G98" s="90"/>
      <c r="H98" s="90"/>
      <c r="I98" s="90"/>
      <c r="J98" s="90"/>
      <c r="K98" s="90"/>
      <c r="L98" s="91"/>
      <c r="M98" s="139"/>
      <c r="N98" s="140"/>
      <c r="O98" s="141"/>
      <c r="P98" s="92"/>
      <c r="Q98" s="93"/>
      <c r="R98" s="93"/>
      <c r="S98" s="93"/>
      <c r="T98" s="94"/>
    </row>
    <row r="99" spans="2:20" x14ac:dyDescent="0.3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 ht="18" x14ac:dyDescent="0.35">
      <c r="B100" s="1" t="s">
        <v>167</v>
      </c>
      <c r="C100" s="1"/>
      <c r="D100" s="1"/>
      <c r="E100" s="1"/>
      <c r="F100" s="1"/>
      <c r="G100" s="1"/>
      <c r="H100" s="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 ht="15" customHeight="1" x14ac:dyDescent="0.3">
      <c r="B101" s="26" t="s">
        <v>168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2:20" x14ac:dyDescent="0.3">
      <c r="B102" s="84" t="s">
        <v>47</v>
      </c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97" t="s">
        <v>59</v>
      </c>
      <c r="N102" s="97"/>
      <c r="O102" s="97"/>
      <c r="P102" s="86" t="s">
        <v>49</v>
      </c>
      <c r="Q102" s="87"/>
      <c r="R102" s="87"/>
      <c r="S102" s="87"/>
      <c r="T102" s="88"/>
    </row>
    <row r="103" spans="2:20" s="12" customFormat="1" ht="24.75" customHeight="1" x14ac:dyDescent="0.3">
      <c r="B103" s="74" t="s">
        <v>169</v>
      </c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98">
        <v>2.0833333333333332E-2</v>
      </c>
      <c r="N103" s="75"/>
      <c r="O103" s="75"/>
      <c r="P103" s="77" t="str">
        <f>D28</f>
        <v>Murilo Moraes</v>
      </c>
      <c r="Q103" s="77"/>
      <c r="R103" s="77"/>
      <c r="S103" s="77"/>
      <c r="T103" s="77"/>
    </row>
    <row r="104" spans="2:20" s="12" customFormat="1" ht="26.25" customHeight="1" x14ac:dyDescent="0.3">
      <c r="B104" s="74" t="s">
        <v>170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8">
        <v>6.9444444444444441E-3</v>
      </c>
      <c r="N104" s="75"/>
      <c r="O104" s="75"/>
      <c r="P104" s="77" t="str">
        <f>D28</f>
        <v>Murilo Moraes</v>
      </c>
      <c r="Q104" s="77"/>
      <c r="R104" s="77"/>
      <c r="S104" s="77"/>
      <c r="T104" s="77"/>
    </row>
    <row r="105" spans="2:20" s="12" customFormat="1" ht="27.75" customHeight="1" x14ac:dyDescent="0.3">
      <c r="B105" s="74" t="s">
        <v>171</v>
      </c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98">
        <v>4.1666666666666664E-2</v>
      </c>
      <c r="N105" s="75"/>
      <c r="O105" s="75"/>
      <c r="P105" s="77" t="str">
        <f>D28</f>
        <v>Murilo Moraes</v>
      </c>
      <c r="Q105" s="77"/>
      <c r="R105" s="77"/>
      <c r="S105" s="77"/>
      <c r="T105" s="77"/>
    </row>
    <row r="106" spans="2:20" s="12" customFormat="1" ht="13.8" x14ac:dyDescent="0.3">
      <c r="B106" s="74" t="s">
        <v>172</v>
      </c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9">
        <v>4.1666666666666664E-2</v>
      </c>
      <c r="N106" s="77"/>
      <c r="O106" s="77"/>
      <c r="P106" s="92">
        <f t="shared" ref="P106" si="3">$D$24</f>
        <v>0</v>
      </c>
      <c r="Q106" s="93"/>
      <c r="R106" s="93"/>
      <c r="S106" s="93"/>
      <c r="T106" s="94"/>
    </row>
    <row r="107" spans="2:20" s="12" customFormat="1" ht="13.8" x14ac:dyDescent="0.3">
      <c r="B107" s="74" t="s">
        <v>173</v>
      </c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>
        <v>1.0416666666666666E-2</v>
      </c>
      <c r="N107" s="77"/>
      <c r="O107" s="77"/>
      <c r="P107" s="92">
        <f t="shared" ref="P107" si="4">$D$24</f>
        <v>0</v>
      </c>
      <c r="Q107" s="93"/>
      <c r="R107" s="93"/>
      <c r="S107" s="93"/>
      <c r="T107" s="94"/>
    </row>
    <row r="108" spans="2:20" s="12" customFormat="1" ht="13.8" x14ac:dyDescent="0.3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99"/>
      <c r="N108" s="77"/>
      <c r="O108" s="77"/>
      <c r="P108" s="92"/>
      <c r="Q108" s="93"/>
      <c r="R108" s="93"/>
      <c r="S108" s="93"/>
      <c r="T108" s="94"/>
    </row>
    <row r="109" spans="2:20" s="12" customFormat="1" ht="15" customHeight="1" x14ac:dyDescent="0.35"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 ht="18" x14ac:dyDescent="0.35">
      <c r="B110" s="1" t="s">
        <v>61</v>
      </c>
      <c r="C110" s="1"/>
      <c r="D110" s="1"/>
      <c r="E110" s="1"/>
      <c r="F110" s="1"/>
      <c r="G110" s="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 ht="15" customHeight="1" x14ac:dyDescent="0.3">
      <c r="B111" s="26" t="s">
        <v>174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2:20" x14ac:dyDescent="0.3">
      <c r="B112" s="84" t="s">
        <v>47</v>
      </c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97" t="s">
        <v>59</v>
      </c>
      <c r="N112" s="97"/>
      <c r="O112" s="97"/>
      <c r="P112" s="86" t="s">
        <v>49</v>
      </c>
      <c r="Q112" s="87"/>
      <c r="R112" s="87"/>
      <c r="S112" s="87"/>
      <c r="T112" s="88"/>
    </row>
    <row r="113" spans="2:20" ht="27" customHeight="1" x14ac:dyDescent="0.3">
      <c r="B113" s="74" t="s">
        <v>175</v>
      </c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98">
        <v>2.0833333333333332E-2</v>
      </c>
      <c r="N113" s="75"/>
      <c r="O113" s="75"/>
      <c r="P113" s="75" t="str">
        <f>D28</f>
        <v>Murilo Moraes</v>
      </c>
      <c r="Q113" s="75"/>
      <c r="R113" s="75"/>
      <c r="S113" s="75"/>
      <c r="T113" s="75"/>
    </row>
    <row r="114" spans="2:20" ht="52.5" customHeight="1" x14ac:dyDescent="0.3">
      <c r="B114" s="100" t="s">
        <v>176</v>
      </c>
      <c r="C114" s="101"/>
      <c r="D114" s="101"/>
      <c r="E114" s="101"/>
      <c r="F114" s="101"/>
      <c r="G114" s="101"/>
      <c r="H114" s="101"/>
      <c r="I114" s="101"/>
      <c r="J114" s="101"/>
      <c r="K114" s="101"/>
      <c r="L114" s="102"/>
      <c r="M114" s="98">
        <v>2.0833333333333332E-2</v>
      </c>
      <c r="N114" s="75"/>
      <c r="O114" s="75"/>
      <c r="P114" s="75" t="str">
        <f>D28</f>
        <v>Murilo Moraes</v>
      </c>
      <c r="Q114" s="75"/>
      <c r="R114" s="75"/>
      <c r="S114" s="75"/>
      <c r="T114" s="75"/>
    </row>
    <row r="115" spans="2:20" ht="15" customHeight="1" x14ac:dyDescent="0.3">
      <c r="B115" s="100" t="s">
        <v>177</v>
      </c>
      <c r="C115" s="101"/>
      <c r="D115" s="101"/>
      <c r="E115" s="101"/>
      <c r="F115" s="101"/>
      <c r="G115" s="101"/>
      <c r="H115" s="101"/>
      <c r="I115" s="101"/>
      <c r="J115" s="101"/>
      <c r="K115" s="101"/>
      <c r="L115" s="102"/>
      <c r="M115" s="98">
        <v>0.41666666666666669</v>
      </c>
      <c r="N115" s="75"/>
      <c r="O115" s="75"/>
      <c r="P115" s="75" t="str">
        <f>D28</f>
        <v>Murilo Moraes</v>
      </c>
      <c r="Q115" s="75"/>
      <c r="R115" s="75"/>
      <c r="S115" s="75"/>
      <c r="T115" s="75"/>
    </row>
    <row r="116" spans="2:20" ht="16.350000000000001" customHeight="1" x14ac:dyDescent="0.3">
      <c r="B116" s="100" t="s">
        <v>178</v>
      </c>
      <c r="C116" s="101"/>
      <c r="D116" s="101"/>
      <c r="E116" s="101"/>
      <c r="F116" s="101"/>
      <c r="G116" s="101"/>
      <c r="H116" s="101"/>
      <c r="I116" s="101"/>
      <c r="J116" s="101"/>
      <c r="K116" s="101"/>
      <c r="L116" s="102"/>
      <c r="M116" s="98">
        <v>2.0833333333333332E-2</v>
      </c>
      <c r="N116" s="75"/>
      <c r="O116" s="75"/>
      <c r="P116" s="75" t="str">
        <f>D28</f>
        <v>Murilo Moraes</v>
      </c>
      <c r="Q116" s="75"/>
      <c r="R116" s="75"/>
      <c r="S116" s="75"/>
      <c r="T116" s="75"/>
    </row>
    <row r="117" spans="2:20" ht="16.350000000000001" customHeight="1" x14ac:dyDescent="0.3">
      <c r="B117" s="100" t="s">
        <v>179</v>
      </c>
      <c r="C117" s="101"/>
      <c r="D117" s="101"/>
      <c r="E117" s="101"/>
      <c r="F117" s="101"/>
      <c r="G117" s="101"/>
      <c r="H117" s="101"/>
      <c r="I117" s="101"/>
      <c r="J117" s="101"/>
      <c r="K117" s="101"/>
      <c r="L117" s="102"/>
      <c r="M117" s="98">
        <v>2.0833333333333332E-2</v>
      </c>
      <c r="N117" s="75"/>
      <c r="O117" s="75"/>
      <c r="P117" s="75" t="str">
        <f>D28</f>
        <v>Murilo Moraes</v>
      </c>
      <c r="Q117" s="75"/>
      <c r="R117" s="75"/>
      <c r="S117" s="75"/>
      <c r="T117" s="75"/>
    </row>
    <row r="118" spans="2:20" ht="16.350000000000001" customHeight="1" x14ac:dyDescent="0.3">
      <c r="B118" s="100" t="s">
        <v>180</v>
      </c>
      <c r="C118" s="101"/>
      <c r="D118" s="101"/>
      <c r="E118" s="101"/>
      <c r="F118" s="101"/>
      <c r="G118" s="101"/>
      <c r="H118" s="101"/>
      <c r="I118" s="101"/>
      <c r="J118" s="101"/>
      <c r="K118" s="101"/>
      <c r="L118" s="102"/>
      <c r="M118" s="98">
        <v>1.0416666666666666E-2</v>
      </c>
      <c r="N118" s="75"/>
      <c r="O118" s="75"/>
      <c r="P118" s="75" t="str">
        <f>D28</f>
        <v>Murilo Moraes</v>
      </c>
      <c r="Q118" s="75"/>
      <c r="R118" s="75"/>
      <c r="S118" s="75"/>
      <c r="T118" s="75"/>
    </row>
    <row r="119" spans="2:20" ht="16.350000000000001" customHeight="1" x14ac:dyDescent="0.3">
      <c r="B119" s="100" t="s">
        <v>181</v>
      </c>
      <c r="C119" s="101"/>
      <c r="D119" s="101"/>
      <c r="E119" s="101"/>
      <c r="F119" s="101"/>
      <c r="G119" s="101"/>
      <c r="H119" s="101"/>
      <c r="I119" s="101"/>
      <c r="J119" s="101"/>
      <c r="K119" s="101"/>
      <c r="L119" s="102"/>
      <c r="M119" s="98">
        <v>1.0416666666666666E-2</v>
      </c>
      <c r="N119" s="75"/>
      <c r="O119" s="75"/>
      <c r="P119" s="75" t="str">
        <f>D28</f>
        <v>Murilo Moraes</v>
      </c>
      <c r="Q119" s="75"/>
      <c r="R119" s="75"/>
      <c r="S119" s="75"/>
      <c r="T119" s="75"/>
    </row>
    <row r="120" spans="2:20" ht="16.350000000000001" customHeight="1" x14ac:dyDescent="0.3">
      <c r="B120" s="100" t="s">
        <v>182</v>
      </c>
      <c r="C120" s="101"/>
      <c r="D120" s="101"/>
      <c r="E120" s="101"/>
      <c r="F120" s="101"/>
      <c r="G120" s="101"/>
      <c r="H120" s="101"/>
      <c r="I120" s="101"/>
      <c r="J120" s="101"/>
      <c r="K120" s="101"/>
      <c r="L120" s="102"/>
      <c r="M120" s="98">
        <v>8.3333333333333329E-2</v>
      </c>
      <c r="N120" s="75"/>
      <c r="O120" s="75"/>
      <c r="P120" s="80">
        <f t="shared" ref="P120" si="5">$D$24</f>
        <v>0</v>
      </c>
      <c r="Q120" s="81"/>
      <c r="R120" s="81"/>
      <c r="S120" s="81"/>
      <c r="T120" s="82"/>
    </row>
    <row r="121" spans="2:20" ht="16.350000000000001" customHeight="1" x14ac:dyDescent="0.3">
      <c r="B121" s="100" t="s">
        <v>183</v>
      </c>
      <c r="C121" s="101"/>
      <c r="D121" s="101"/>
      <c r="E121" s="101"/>
      <c r="F121" s="101"/>
      <c r="G121" s="101"/>
      <c r="H121" s="101"/>
      <c r="I121" s="101"/>
      <c r="J121" s="101"/>
      <c r="K121" s="101"/>
      <c r="L121" s="102"/>
      <c r="M121" s="98">
        <v>1.0416666666666666E-2</v>
      </c>
      <c r="N121" s="75"/>
      <c r="O121" s="75"/>
      <c r="P121" s="80">
        <f t="shared" ref="P121" si="6">$D$24</f>
        <v>0</v>
      </c>
      <c r="Q121" s="81"/>
      <c r="R121" s="81"/>
      <c r="S121" s="81"/>
      <c r="T121" s="82"/>
    </row>
    <row r="122" spans="2:20" ht="16.350000000000001" customHeight="1" x14ac:dyDescent="0.3">
      <c r="B122" s="100" t="s">
        <v>184</v>
      </c>
      <c r="C122" s="101"/>
      <c r="D122" s="101"/>
      <c r="E122" s="101"/>
      <c r="F122" s="101"/>
      <c r="G122" s="101"/>
      <c r="H122" s="101"/>
      <c r="I122" s="101"/>
      <c r="J122" s="101"/>
      <c r="K122" s="101"/>
      <c r="L122" s="102"/>
      <c r="M122" s="80">
        <f t="shared" ref="M122" si="7">$D$24</f>
        <v>0</v>
      </c>
      <c r="N122" s="81"/>
      <c r="O122" s="81"/>
      <c r="P122" s="81"/>
      <c r="Q122" s="81"/>
      <c r="R122" s="81"/>
      <c r="S122" s="81"/>
      <c r="T122" s="82"/>
    </row>
    <row r="123" spans="2:20" ht="16.350000000000001" customHeight="1" x14ac:dyDescent="0.3">
      <c r="B123" s="100"/>
      <c r="C123" s="101"/>
      <c r="D123" s="101"/>
      <c r="E123" s="101"/>
      <c r="F123" s="101"/>
      <c r="G123" s="101"/>
      <c r="H123" s="101"/>
      <c r="I123" s="101"/>
      <c r="J123" s="101"/>
      <c r="K123" s="101"/>
      <c r="L123" s="102"/>
      <c r="M123" s="98"/>
      <c r="N123" s="75"/>
      <c r="O123" s="75"/>
      <c r="P123" s="80"/>
      <c r="Q123" s="81"/>
      <c r="R123" s="81"/>
      <c r="S123" s="81"/>
      <c r="T123" s="82"/>
    </row>
    <row r="124" spans="2:20" ht="16.350000000000001" customHeight="1" x14ac:dyDescent="0.3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2:20" ht="18" x14ac:dyDescent="0.35">
      <c r="B125" s="1" t="s">
        <v>185</v>
      </c>
      <c r="C125" s="1"/>
      <c r="D125" s="1"/>
      <c r="E125" s="1"/>
      <c r="F125" s="1"/>
      <c r="G125" s="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2:20" ht="15" customHeight="1" x14ac:dyDescent="0.3">
      <c r="B126" s="26" t="s">
        <v>186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 spans="2:20" x14ac:dyDescent="0.3">
      <c r="B127" s="130" t="s">
        <v>187</v>
      </c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2"/>
    </row>
    <row r="128" spans="2:20" x14ac:dyDescent="0.3">
      <c r="B128" s="133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5"/>
    </row>
    <row r="129" spans="2:20" ht="15" customHeight="1" x14ac:dyDescent="0.3">
      <c r="B129" s="133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5"/>
    </row>
    <row r="130" spans="2:20" ht="16.350000000000001" customHeight="1" x14ac:dyDescent="0.3">
      <c r="B130" s="133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5"/>
    </row>
    <row r="131" spans="2:20" ht="16.350000000000001" customHeight="1" x14ac:dyDescent="0.3">
      <c r="B131" s="133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5"/>
    </row>
    <row r="132" spans="2:20" ht="16.350000000000001" customHeight="1" x14ac:dyDescent="0.3">
      <c r="B132" s="133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5"/>
    </row>
    <row r="133" spans="2:20" ht="16.350000000000001" customHeight="1" x14ac:dyDescent="0.3">
      <c r="B133" s="133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5"/>
    </row>
    <row r="134" spans="2:20" ht="16.350000000000001" customHeight="1" x14ac:dyDescent="0.3">
      <c r="B134" s="133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5"/>
    </row>
    <row r="135" spans="2:20" ht="16.350000000000001" customHeight="1" x14ac:dyDescent="0.3">
      <c r="B135" s="133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5"/>
    </row>
    <row r="136" spans="2:20" ht="16.350000000000001" customHeight="1" x14ac:dyDescent="0.3">
      <c r="B136" s="133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5"/>
    </row>
    <row r="137" spans="2:20" ht="16.350000000000001" customHeight="1" x14ac:dyDescent="0.3">
      <c r="B137" s="133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5"/>
    </row>
    <row r="138" spans="2:20" x14ac:dyDescent="0.3">
      <c r="B138" s="133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5"/>
    </row>
    <row r="139" spans="2:20" x14ac:dyDescent="0.3">
      <c r="B139" s="133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5"/>
    </row>
    <row r="140" spans="2:20" ht="15" customHeight="1" x14ac:dyDescent="0.3">
      <c r="B140" s="133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5"/>
    </row>
    <row r="141" spans="2:20" x14ac:dyDescent="0.3">
      <c r="B141" s="133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5"/>
    </row>
    <row r="142" spans="2:20" x14ac:dyDescent="0.3">
      <c r="B142" s="133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5"/>
    </row>
    <row r="143" spans="2:20" ht="15" customHeight="1" x14ac:dyDescent="0.3">
      <c r="B143" s="133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5"/>
    </row>
    <row r="144" spans="2:20" ht="16.350000000000001" customHeight="1" x14ac:dyDescent="0.3">
      <c r="B144" s="133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5"/>
    </row>
    <row r="145" spans="2:20" ht="16.350000000000001" customHeight="1" x14ac:dyDescent="0.3">
      <c r="B145" s="133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5"/>
    </row>
    <row r="146" spans="2:20" ht="16.350000000000001" customHeight="1" x14ac:dyDescent="0.3">
      <c r="B146" s="133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5"/>
    </row>
    <row r="147" spans="2:20" ht="16.350000000000001" customHeight="1" x14ac:dyDescent="0.3">
      <c r="B147" s="133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5"/>
    </row>
    <row r="148" spans="2:20" ht="16.350000000000001" customHeight="1" x14ac:dyDescent="0.3">
      <c r="B148" s="133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5"/>
    </row>
    <row r="149" spans="2:20" ht="16.350000000000001" customHeight="1" x14ac:dyDescent="0.3">
      <c r="B149" s="133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5"/>
    </row>
    <row r="150" spans="2:20" ht="16.350000000000001" customHeight="1" x14ac:dyDescent="0.3">
      <c r="B150" s="133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5"/>
    </row>
    <row r="151" spans="2:20" ht="16.350000000000001" customHeight="1" x14ac:dyDescent="0.3">
      <c r="B151" s="133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5"/>
    </row>
    <row r="152" spans="2:20" ht="16.350000000000001" customHeight="1" x14ac:dyDescent="0.3">
      <c r="B152" s="133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5"/>
    </row>
    <row r="153" spans="2:20" ht="16.350000000000001" customHeight="1" x14ac:dyDescent="0.3">
      <c r="B153" s="133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5"/>
    </row>
    <row r="154" spans="2:20" ht="16.350000000000001" customHeight="1" x14ac:dyDescent="0.3">
      <c r="B154" s="133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5"/>
    </row>
    <row r="155" spans="2:20" ht="16.350000000000001" customHeight="1" x14ac:dyDescent="0.3">
      <c r="B155" s="133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5"/>
    </row>
    <row r="156" spans="2:20" ht="16.350000000000001" customHeight="1" x14ac:dyDescent="0.3">
      <c r="B156" s="133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5"/>
    </row>
    <row r="157" spans="2:20" ht="16.350000000000001" customHeight="1" x14ac:dyDescent="0.3">
      <c r="B157" s="133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5"/>
    </row>
    <row r="158" spans="2:20" ht="16.350000000000001" customHeight="1" x14ac:dyDescent="0.3">
      <c r="B158" s="133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5"/>
    </row>
    <row r="159" spans="2:20" ht="16.350000000000001" customHeight="1" x14ac:dyDescent="0.3">
      <c r="B159" s="136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8"/>
    </row>
    <row r="160" spans="2:20" x14ac:dyDescent="0.3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2:20" ht="15" customHeight="1" x14ac:dyDescent="0.35">
      <c r="B161" s="1" t="s">
        <v>64</v>
      </c>
      <c r="C161" s="1"/>
      <c r="D161" s="1"/>
      <c r="E161" s="1"/>
      <c r="F161" s="1"/>
      <c r="G161" s="1"/>
      <c r="H161" s="1"/>
      <c r="I161" s="1"/>
      <c r="J161" s="1"/>
      <c r="K161" s="1"/>
      <c r="L161" s="5"/>
      <c r="M161" s="5"/>
      <c r="N161" s="5"/>
      <c r="O161" s="5"/>
      <c r="P161" s="5"/>
      <c r="Q161" s="5"/>
      <c r="R161" s="5"/>
      <c r="S161" s="5"/>
      <c r="T161" s="5"/>
    </row>
    <row r="162" spans="2:20" x14ac:dyDescent="0.3">
      <c r="B162" s="109" t="s">
        <v>0</v>
      </c>
      <c r="C162" s="110"/>
      <c r="D162" s="110"/>
      <c r="E162" s="110"/>
      <c r="F162" s="110"/>
      <c r="G162" s="110"/>
      <c r="H162" s="111"/>
      <c r="I162" s="109" t="s">
        <v>65</v>
      </c>
      <c r="J162" s="110"/>
      <c r="K162" s="110"/>
      <c r="L162" s="111"/>
      <c r="M162" s="86" t="s">
        <v>66</v>
      </c>
      <c r="N162" s="87"/>
      <c r="O162" s="87"/>
      <c r="P162" s="88"/>
      <c r="Q162" s="86" t="s">
        <v>1</v>
      </c>
      <c r="R162" s="87"/>
      <c r="S162" s="87"/>
      <c r="T162" s="88"/>
    </row>
    <row r="163" spans="2:20" x14ac:dyDescent="0.3">
      <c r="B163" s="103" t="s">
        <v>188</v>
      </c>
      <c r="C163" s="104"/>
      <c r="D163" s="104"/>
      <c r="E163" s="104"/>
      <c r="F163" s="104"/>
      <c r="G163" s="104"/>
      <c r="H163" s="105"/>
      <c r="I163" s="103" t="s">
        <v>189</v>
      </c>
      <c r="J163" s="104"/>
      <c r="K163" s="104"/>
      <c r="L163" s="105"/>
      <c r="M163" s="106" t="s">
        <v>53</v>
      </c>
      <c r="N163" s="107"/>
      <c r="O163" s="107"/>
      <c r="P163" s="108"/>
      <c r="Q163" s="106" t="s">
        <v>190</v>
      </c>
      <c r="R163" s="107"/>
      <c r="S163" s="107"/>
      <c r="T163" s="108"/>
    </row>
    <row r="164" spans="2:20" x14ac:dyDescent="0.3">
      <c r="B164" s="103" t="s">
        <v>69</v>
      </c>
      <c r="C164" s="104"/>
      <c r="D164" s="104"/>
      <c r="E164" s="104"/>
      <c r="F164" s="104"/>
      <c r="G164" s="104"/>
      <c r="H164" s="105"/>
      <c r="I164" s="103" t="s">
        <v>191</v>
      </c>
      <c r="J164" s="104"/>
      <c r="K164" s="104"/>
      <c r="L164" s="105"/>
      <c r="M164" s="106" t="s">
        <v>53</v>
      </c>
      <c r="N164" s="107"/>
      <c r="O164" s="107"/>
      <c r="P164" s="108"/>
      <c r="Q164" s="106" t="s">
        <v>5</v>
      </c>
      <c r="R164" s="107"/>
      <c r="S164" s="107"/>
      <c r="T164" s="108"/>
    </row>
    <row r="165" spans="2:20" x14ac:dyDescent="0.3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2:20" x14ac:dyDescent="0.3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2:20" ht="2.1" customHeight="1" x14ac:dyDescent="0.3">
      <c r="B167" s="127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9"/>
    </row>
    <row r="168" spans="2:20" ht="18" x14ac:dyDescent="0.35">
      <c r="B168" s="4" t="s">
        <v>74</v>
      </c>
    </row>
    <row r="169" spans="2:20" x14ac:dyDescent="0.3">
      <c r="B169" s="109" t="s">
        <v>0</v>
      </c>
      <c r="C169" s="110"/>
      <c r="D169" s="110"/>
      <c r="E169" s="110"/>
      <c r="F169" s="110"/>
      <c r="G169" s="111"/>
      <c r="H169" s="109" t="s">
        <v>65</v>
      </c>
      <c r="I169" s="110"/>
      <c r="J169" s="110"/>
      <c r="K169" s="110"/>
      <c r="L169" s="111"/>
      <c r="M169" s="97" t="s">
        <v>66</v>
      </c>
      <c r="N169" s="97"/>
      <c r="O169" s="97"/>
      <c r="P169" s="97"/>
      <c r="Q169" s="86" t="s">
        <v>75</v>
      </c>
      <c r="R169" s="87"/>
      <c r="S169" s="87"/>
      <c r="T169" s="88"/>
    </row>
    <row r="170" spans="2:20" x14ac:dyDescent="0.3">
      <c r="B170" s="112" t="s">
        <v>67</v>
      </c>
      <c r="C170" s="113"/>
      <c r="D170" s="113"/>
      <c r="E170" s="113"/>
      <c r="F170" s="113"/>
      <c r="G170" s="114"/>
      <c r="H170" s="115" t="s">
        <v>189</v>
      </c>
      <c r="I170" s="116"/>
      <c r="J170" s="116"/>
      <c r="K170" s="116"/>
      <c r="L170" s="117"/>
      <c r="M170" s="118" t="s">
        <v>53</v>
      </c>
      <c r="N170" s="119"/>
      <c r="O170" s="119"/>
      <c r="P170" s="120"/>
      <c r="Q170" s="118"/>
      <c r="R170" s="119"/>
      <c r="S170" s="119"/>
      <c r="T170" s="120"/>
    </row>
  </sheetData>
  <sheetProtection selectLockedCells="1"/>
  <mergeCells count="290">
    <mergeCell ref="B7:I7"/>
    <mergeCell ref="J7:T7"/>
    <mergeCell ref="J8:T9"/>
    <mergeCell ref="B10:F10"/>
    <mergeCell ref="G10:T10"/>
    <mergeCell ref="B11:F11"/>
    <mergeCell ref="G11:T11"/>
    <mergeCell ref="B1:T3"/>
    <mergeCell ref="K4:T4"/>
    <mergeCell ref="B5:I5"/>
    <mergeCell ref="J5:T5"/>
    <mergeCell ref="B6:I6"/>
    <mergeCell ref="J6:T6"/>
    <mergeCell ref="B17:J17"/>
    <mergeCell ref="K17:T17"/>
    <mergeCell ref="B18:J18"/>
    <mergeCell ref="K18:T18"/>
    <mergeCell ref="B19:J19"/>
    <mergeCell ref="K19:T19"/>
    <mergeCell ref="B12:F12"/>
    <mergeCell ref="G12:T12"/>
    <mergeCell ref="K13:T14"/>
    <mergeCell ref="B15:J15"/>
    <mergeCell ref="K15:T15"/>
    <mergeCell ref="B16:J16"/>
    <mergeCell ref="K16:T16"/>
    <mergeCell ref="B27:J27"/>
    <mergeCell ref="K27:K29"/>
    <mergeCell ref="D28:J28"/>
    <mergeCell ref="L28:M28"/>
    <mergeCell ref="N28:T28"/>
    <mergeCell ref="D29:J29"/>
    <mergeCell ref="L29:M29"/>
    <mergeCell ref="N29:T29"/>
    <mergeCell ref="B20:J20"/>
    <mergeCell ref="K20:T20"/>
    <mergeCell ref="K21:T23"/>
    <mergeCell ref="D24:J24"/>
    <mergeCell ref="K24:K26"/>
    <mergeCell ref="L24:M24"/>
    <mergeCell ref="N24:T24"/>
    <mergeCell ref="D25:J25"/>
    <mergeCell ref="L25:M25"/>
    <mergeCell ref="N25:T25"/>
    <mergeCell ref="B36:F36"/>
    <mergeCell ref="G36:J36"/>
    <mergeCell ref="L36:P36"/>
    <mergeCell ref="Q36:T36"/>
    <mergeCell ref="B37:F37"/>
    <mergeCell ref="G37:J37"/>
    <mergeCell ref="L37:P37"/>
    <mergeCell ref="Q37:T37"/>
    <mergeCell ref="B31:J31"/>
    <mergeCell ref="D32:J32"/>
    <mergeCell ref="L32:M32"/>
    <mergeCell ref="N32:T32"/>
    <mergeCell ref="D33:J33"/>
    <mergeCell ref="L33:M33"/>
    <mergeCell ref="N33:T33"/>
    <mergeCell ref="B40:T40"/>
    <mergeCell ref="B42:K42"/>
    <mergeCell ref="L42:T42"/>
    <mergeCell ref="B43:K43"/>
    <mergeCell ref="L43:T43"/>
    <mergeCell ref="B44:K44"/>
    <mergeCell ref="L44:T44"/>
    <mergeCell ref="B38:H38"/>
    <mergeCell ref="I38:J38"/>
    <mergeCell ref="L38:P38"/>
    <mergeCell ref="Q38:T38"/>
    <mergeCell ref="B39:J39"/>
    <mergeCell ref="L39:T39"/>
    <mergeCell ref="B48:K48"/>
    <mergeCell ref="L48:T48"/>
    <mergeCell ref="B49:E49"/>
    <mergeCell ref="B52:H52"/>
    <mergeCell ref="I52:K52"/>
    <mergeCell ref="L52:M52"/>
    <mergeCell ref="N52:T52"/>
    <mergeCell ref="B45:K45"/>
    <mergeCell ref="L45:T45"/>
    <mergeCell ref="B46:K46"/>
    <mergeCell ref="L46:T46"/>
    <mergeCell ref="B47:K47"/>
    <mergeCell ref="L47:T47"/>
    <mergeCell ref="B55:H55"/>
    <mergeCell ref="I55:K55"/>
    <mergeCell ref="L55:M55"/>
    <mergeCell ref="N55:T55"/>
    <mergeCell ref="B56:H56"/>
    <mergeCell ref="I56:K56"/>
    <mergeCell ref="L56:M56"/>
    <mergeCell ref="N56:T56"/>
    <mergeCell ref="B53:H53"/>
    <mergeCell ref="I53:K53"/>
    <mergeCell ref="L53:M53"/>
    <mergeCell ref="N53:T53"/>
    <mergeCell ref="B54:H54"/>
    <mergeCell ref="I54:K54"/>
    <mergeCell ref="L54:M54"/>
    <mergeCell ref="N54:T54"/>
    <mergeCell ref="B59:H59"/>
    <mergeCell ref="I59:K59"/>
    <mergeCell ref="L59:M59"/>
    <mergeCell ref="N59:T59"/>
    <mergeCell ref="B60:H60"/>
    <mergeCell ref="I60:K60"/>
    <mergeCell ref="L60:M60"/>
    <mergeCell ref="N60:T60"/>
    <mergeCell ref="B57:H57"/>
    <mergeCell ref="I57:K57"/>
    <mergeCell ref="L57:M57"/>
    <mergeCell ref="N57:T57"/>
    <mergeCell ref="B58:H58"/>
    <mergeCell ref="I58:K58"/>
    <mergeCell ref="L58:M58"/>
    <mergeCell ref="N58:T58"/>
    <mergeCell ref="B67:L67"/>
    <mergeCell ref="M67:O67"/>
    <mergeCell ref="P67:T67"/>
    <mergeCell ref="B68:L68"/>
    <mergeCell ref="M68:O68"/>
    <mergeCell ref="P68:T68"/>
    <mergeCell ref="B61:H61"/>
    <mergeCell ref="I61:K61"/>
    <mergeCell ref="L61:M61"/>
    <mergeCell ref="N61:T61"/>
    <mergeCell ref="B62:H62"/>
    <mergeCell ref="I62:K62"/>
    <mergeCell ref="L62:M62"/>
    <mergeCell ref="N62:T62"/>
    <mergeCell ref="B71:L71"/>
    <mergeCell ref="M71:O71"/>
    <mergeCell ref="P71:T71"/>
    <mergeCell ref="B75:L75"/>
    <mergeCell ref="M75:O75"/>
    <mergeCell ref="P75:T75"/>
    <mergeCell ref="B69:L69"/>
    <mergeCell ref="M69:O69"/>
    <mergeCell ref="P69:T69"/>
    <mergeCell ref="B70:L70"/>
    <mergeCell ref="M70:O70"/>
    <mergeCell ref="P70:T70"/>
    <mergeCell ref="B78:L78"/>
    <mergeCell ref="M78:O78"/>
    <mergeCell ref="P78:T78"/>
    <mergeCell ref="B79:L79"/>
    <mergeCell ref="M79:O79"/>
    <mergeCell ref="P79:T79"/>
    <mergeCell ref="B76:L76"/>
    <mergeCell ref="M76:O76"/>
    <mergeCell ref="P76:T76"/>
    <mergeCell ref="B77:L77"/>
    <mergeCell ref="M77:O77"/>
    <mergeCell ref="P77:T77"/>
    <mergeCell ref="B82:L82"/>
    <mergeCell ref="M82:O82"/>
    <mergeCell ref="P82:T82"/>
    <mergeCell ref="B80:L80"/>
    <mergeCell ref="M80:O80"/>
    <mergeCell ref="P80:T80"/>
    <mergeCell ref="B81:L81"/>
    <mergeCell ref="M81:O81"/>
    <mergeCell ref="P81:T81"/>
    <mergeCell ref="B85:L85"/>
    <mergeCell ref="M85:O85"/>
    <mergeCell ref="P85:T85"/>
    <mergeCell ref="B86:L86"/>
    <mergeCell ref="M86:O86"/>
    <mergeCell ref="P86:T86"/>
    <mergeCell ref="B83:L83"/>
    <mergeCell ref="M83:O83"/>
    <mergeCell ref="P83:T83"/>
    <mergeCell ref="B84:L84"/>
    <mergeCell ref="M84:O84"/>
    <mergeCell ref="P84:T84"/>
    <mergeCell ref="B90:L90"/>
    <mergeCell ref="M90:O90"/>
    <mergeCell ref="P90:T90"/>
    <mergeCell ref="B91:L91"/>
    <mergeCell ref="M91:O91"/>
    <mergeCell ref="P91:T91"/>
    <mergeCell ref="B87:L87"/>
    <mergeCell ref="M87:O87"/>
    <mergeCell ref="P87:T87"/>
    <mergeCell ref="B89:L89"/>
    <mergeCell ref="M89:O89"/>
    <mergeCell ref="P89:T89"/>
    <mergeCell ref="B94:L94"/>
    <mergeCell ref="M94:O94"/>
    <mergeCell ref="P94:T94"/>
    <mergeCell ref="B92:L92"/>
    <mergeCell ref="M92:O92"/>
    <mergeCell ref="P92:T92"/>
    <mergeCell ref="B93:L93"/>
    <mergeCell ref="M93:O93"/>
    <mergeCell ref="P93:T93"/>
    <mergeCell ref="B97:L97"/>
    <mergeCell ref="M97:O97"/>
    <mergeCell ref="P97:T97"/>
    <mergeCell ref="B95:L95"/>
    <mergeCell ref="M95:O95"/>
    <mergeCell ref="P95:T95"/>
    <mergeCell ref="B96:L96"/>
    <mergeCell ref="M96:O96"/>
    <mergeCell ref="P96:T96"/>
    <mergeCell ref="B103:L103"/>
    <mergeCell ref="M103:O103"/>
    <mergeCell ref="P103:T103"/>
    <mergeCell ref="B104:L104"/>
    <mergeCell ref="M104:O104"/>
    <mergeCell ref="P104:T104"/>
    <mergeCell ref="B98:L98"/>
    <mergeCell ref="M98:O98"/>
    <mergeCell ref="P98:T98"/>
    <mergeCell ref="B102:L102"/>
    <mergeCell ref="M102:O102"/>
    <mergeCell ref="P102:T102"/>
    <mergeCell ref="B107:L107"/>
    <mergeCell ref="M107:O107"/>
    <mergeCell ref="P107:T107"/>
    <mergeCell ref="B108:L108"/>
    <mergeCell ref="M108:O108"/>
    <mergeCell ref="P108:T108"/>
    <mergeCell ref="B105:L105"/>
    <mergeCell ref="M105:O105"/>
    <mergeCell ref="P105:T105"/>
    <mergeCell ref="B106:L106"/>
    <mergeCell ref="M106:O106"/>
    <mergeCell ref="P106:T106"/>
    <mergeCell ref="B114:L114"/>
    <mergeCell ref="M114:O114"/>
    <mergeCell ref="P114:T114"/>
    <mergeCell ref="B115:L115"/>
    <mergeCell ref="M115:O115"/>
    <mergeCell ref="P115:T115"/>
    <mergeCell ref="B112:L112"/>
    <mergeCell ref="M112:O112"/>
    <mergeCell ref="P112:T112"/>
    <mergeCell ref="B113:L113"/>
    <mergeCell ref="M113:O113"/>
    <mergeCell ref="P113:T113"/>
    <mergeCell ref="B118:L118"/>
    <mergeCell ref="M118:O118"/>
    <mergeCell ref="P118:T118"/>
    <mergeCell ref="B119:L119"/>
    <mergeCell ref="M119:O119"/>
    <mergeCell ref="P119:T119"/>
    <mergeCell ref="B116:L116"/>
    <mergeCell ref="M116:O116"/>
    <mergeCell ref="P116:T116"/>
    <mergeCell ref="B117:L117"/>
    <mergeCell ref="M117:O117"/>
    <mergeCell ref="P117:T117"/>
    <mergeCell ref="B169:G169"/>
    <mergeCell ref="H169:L169"/>
    <mergeCell ref="M169:P169"/>
    <mergeCell ref="Q169:T169"/>
    <mergeCell ref="B170:G170"/>
    <mergeCell ref="H170:L170"/>
    <mergeCell ref="M170:P170"/>
    <mergeCell ref="Q170:T170"/>
    <mergeCell ref="B163:H163"/>
    <mergeCell ref="I163:L163"/>
    <mergeCell ref="M163:P163"/>
    <mergeCell ref="Q163:T163"/>
    <mergeCell ref="B127:T159"/>
    <mergeCell ref="B164:H164"/>
    <mergeCell ref="B88:L88"/>
    <mergeCell ref="M88:O88"/>
    <mergeCell ref="P88:T88"/>
    <mergeCell ref="Q164:T164"/>
    <mergeCell ref="M164:P164"/>
    <mergeCell ref="I164:L164"/>
    <mergeCell ref="B167:T167"/>
    <mergeCell ref="B122:L122"/>
    <mergeCell ref="M122:T122"/>
    <mergeCell ref="B123:L123"/>
    <mergeCell ref="M123:O123"/>
    <mergeCell ref="P123:T123"/>
    <mergeCell ref="B162:H162"/>
    <mergeCell ref="I162:L162"/>
    <mergeCell ref="M162:P162"/>
    <mergeCell ref="Q162:T162"/>
    <mergeCell ref="B120:L120"/>
    <mergeCell ref="M120:O120"/>
    <mergeCell ref="P120:T120"/>
    <mergeCell ref="B121:L121"/>
    <mergeCell ref="M121:O121"/>
    <mergeCell ref="P121:T121"/>
  </mergeCells>
  <conditionalFormatting sqref="B42:B48">
    <cfRule type="notContainsBlanks" dxfId="309" priority="32">
      <formula>LEN(TRIM(B42))&gt;0</formula>
    </cfRule>
  </conditionalFormatting>
  <conditionalFormatting sqref="B39:J39">
    <cfRule type="expression" dxfId="308" priority="6">
      <formula>$I$38="NÃO"</formula>
    </cfRule>
    <cfRule type="expression" dxfId="307" priority="7">
      <formula>$I$38="SIM"</formula>
    </cfRule>
  </conditionalFormatting>
  <conditionalFormatting sqref="D24:J25">
    <cfRule type="containsBlanks" dxfId="306" priority="14">
      <formula>LEN(TRIM(D24))=0</formula>
    </cfRule>
  </conditionalFormatting>
  <conditionalFormatting sqref="D28:J29">
    <cfRule type="containsBlanks" dxfId="305" priority="2">
      <formula>LEN(TRIM(D28))=0</formula>
    </cfRule>
  </conditionalFormatting>
  <conditionalFormatting sqref="D32:J33">
    <cfRule type="containsBlanks" dxfId="304" priority="13">
      <formula>LEN(TRIM(D32))=0</formula>
    </cfRule>
  </conditionalFormatting>
  <conditionalFormatting sqref="G36:J37">
    <cfRule type="containsBlanks" dxfId="303" priority="12">
      <formula>LEN(TRIM(G36))=0</formula>
    </cfRule>
  </conditionalFormatting>
  <conditionalFormatting sqref="G10:T10">
    <cfRule type="containsBlanks" dxfId="302" priority="17">
      <formula>LEN(TRIM(G10))=0</formula>
    </cfRule>
  </conditionalFormatting>
  <conditionalFormatting sqref="G11:T12">
    <cfRule type="containsBlanks" dxfId="301" priority="27">
      <formula>LEN(TRIM(G11))=0</formula>
    </cfRule>
  </conditionalFormatting>
  <conditionalFormatting sqref="I38">
    <cfRule type="containsBlanks" dxfId="300" priority="11">
      <formula>LEN(TRIM(I38))=0</formula>
    </cfRule>
  </conditionalFormatting>
  <conditionalFormatting sqref="J5:T5">
    <cfRule type="containsText" dxfId="299" priority="31" operator="containsText" text="Nome do Cliente">
      <formula>NOT(ISERROR(SEARCH("Nome do Cliente",J5)))</formula>
    </cfRule>
  </conditionalFormatting>
  <conditionalFormatting sqref="J5:T7">
    <cfRule type="containsBlanks" dxfId="298" priority="29">
      <formula>LEN(TRIM(J5))=0</formula>
    </cfRule>
  </conditionalFormatting>
  <conditionalFormatting sqref="J6:T6">
    <cfRule type="containsText" dxfId="297" priority="30" operator="containsText" text="01/01/2023">
      <formula>NOT(ISERROR(SEARCH("01/01/2023",J6)))</formula>
    </cfRule>
  </conditionalFormatting>
  <conditionalFormatting sqref="J7:T7">
    <cfRule type="containsText" dxfId="296" priority="28" operator="containsText" text="Nome do solicitante">
      <formula>NOT(ISERROR(SEARCH("Nome do solicitante",J7)))</formula>
    </cfRule>
  </conditionalFormatting>
  <conditionalFormatting sqref="L39:T39">
    <cfRule type="expression" dxfId="295" priority="8">
      <formula>$Q$38="NÃO"</formula>
    </cfRule>
    <cfRule type="expression" dxfId="294" priority="9">
      <formula>$Q$38="SIM"</formula>
    </cfRule>
  </conditionalFormatting>
  <conditionalFormatting sqref="L42:T42">
    <cfRule type="expression" dxfId="293" priority="25">
      <formula>AND($B$42&lt;&gt;"",$L$42="")</formula>
    </cfRule>
    <cfRule type="expression" dxfId="292" priority="26">
      <formula>$B$42&lt;&gt;""</formula>
    </cfRule>
  </conditionalFormatting>
  <conditionalFormatting sqref="L43:T43">
    <cfRule type="expression" dxfId="291" priority="24">
      <formula>AND($B$43&lt;&gt;"",$L$43="")</formula>
    </cfRule>
  </conditionalFormatting>
  <conditionalFormatting sqref="L43:T48">
    <cfRule type="notContainsBlanks" dxfId="290" priority="18">
      <formula>LEN(TRIM(L43))&gt;0</formula>
    </cfRule>
  </conditionalFormatting>
  <conditionalFormatting sqref="L44:T44">
    <cfRule type="expression" dxfId="289" priority="23">
      <formula>AND($B$44&lt;&gt;"",$L$44="")</formula>
    </cfRule>
  </conditionalFormatting>
  <conditionalFormatting sqref="L45:T45">
    <cfRule type="expression" dxfId="288" priority="22">
      <formula>AND($B$45&lt;&gt;"",$L$45="")</formula>
    </cfRule>
  </conditionalFormatting>
  <conditionalFormatting sqref="L46:T46">
    <cfRule type="expression" dxfId="287" priority="21">
      <formula>AND($B$46&lt;&gt;"",$L$46="")</formula>
    </cfRule>
  </conditionalFormatting>
  <conditionalFormatting sqref="L47:T47">
    <cfRule type="expression" dxfId="286" priority="20">
      <formula>AND($B$47&lt;&gt;"",$L$47="")</formula>
    </cfRule>
  </conditionalFormatting>
  <conditionalFormatting sqref="L48:T48">
    <cfRule type="expression" dxfId="285" priority="19">
      <formula>AND($B$48&lt;&gt;"",$L$48="")</formula>
    </cfRule>
  </conditionalFormatting>
  <conditionalFormatting sqref="N24:T25">
    <cfRule type="containsBlanks" dxfId="284" priority="16">
      <formula>LEN(TRIM(N24))=0</formula>
    </cfRule>
  </conditionalFormatting>
  <conditionalFormatting sqref="N28:T29">
    <cfRule type="containsBlanks" dxfId="283" priority="1">
      <formula>LEN(TRIM(N28))=0</formula>
    </cfRule>
  </conditionalFormatting>
  <conditionalFormatting sqref="N32:T33">
    <cfRule type="containsBlanks" dxfId="282" priority="15">
      <formula>LEN(TRIM(N32))=0</formula>
    </cfRule>
  </conditionalFormatting>
  <conditionalFormatting sqref="Q36:T38">
    <cfRule type="containsBlanks" dxfId="281" priority="10">
      <formula>LEN(TRIM(Q36))=0</formula>
    </cfRule>
  </conditionalFormatting>
  <conditionalFormatting sqref="Q170:T170">
    <cfRule type="containsBlanks" dxfId="280" priority="5">
      <formula>LEN(TRIM(Q170))=0</formula>
    </cfRule>
  </conditionalFormatting>
  <dataValidations disablePrompts="1" count="8">
    <dataValidation type="list" allowBlank="1" showInputMessage="1" showErrorMessage="1" sqref="B170:G170" xr:uid="{01C11CD6-A1FC-4E3A-AB72-34796F2D342F}">
      <formula1>"Wilson Kempim Jr."</formula1>
    </dataValidation>
    <dataValidation type="list" allowBlank="1" showInputMessage="1" showErrorMessage="1" sqref="G36:J36" xr:uid="{22E35696-9C49-4025-9D57-24CDECE2F710}">
      <formula1>"PRODUÇÃO,HOMOLOGAÇÃO,TESTES,TREINAMENTO,DESENVOLVIMENTO"</formula1>
    </dataValidation>
    <dataValidation type="list" allowBlank="1" showInputMessage="1" showErrorMessage="1" sqref="Q170:T170" xr:uid="{2D1E085A-966D-463A-8576-39DD3864C859}">
      <formula1>"APROVADO,REPROVADO"</formula1>
    </dataValidation>
    <dataValidation type="list" allowBlank="1" showInputMessage="1" showErrorMessage="1" sqref="L53:M62" xr:uid="{D2A22717-F165-4CB6-AC00-15E2E304AF4A}">
      <formula1>"ALTO,MÉDIO,BAIXO"</formula1>
    </dataValidation>
    <dataValidation type="list" allowBlank="1" showInputMessage="1" showErrorMessage="1" sqref="I53:K62" xr:uid="{9BF2C3BC-FCFD-43B4-A041-D449F87608A8}">
      <formula1>"ALTA,MÉDIA,BAIXA"</formula1>
    </dataValidation>
    <dataValidation type="list" allowBlank="1" showInputMessage="1" showErrorMessage="1" sqref="G11" xr:uid="{68652E57-082B-4EA8-9940-2D544DB40E14}">
      <formula1>"PROGRAMADA,EMERGENCIAL"</formula1>
    </dataValidation>
    <dataValidation type="list" allowBlank="1" showInputMessage="1" showErrorMessage="1" sqref="Q36:T38 G37:H37 J37 I37:I38 M76:O98" xr:uid="{50E2A522-70CF-40CE-B05F-2D9ED5FCA971}">
      <formula1>"SIM,NÃO"</formula1>
    </dataValidation>
    <dataValidation type="list" allowBlank="1" showInputMessage="1" showErrorMessage="1" sqref="M68:O72" xr:uid="{410AAF8F-CACC-461F-BD02-A2EEA6116667}">
      <formula1>"NECESSÁRIO,OBRIGATÓRIO"</formula1>
    </dataValidation>
  </dataValidations>
  <pageMargins left="0.25" right="0.25" top="0.75" bottom="0.75" header="0.3" footer="0.3"/>
  <pageSetup paperSize="5" orientation="portrait" r:id="rId1"/>
  <headerFooter differentFirst="1">
    <oddHeader>&amp;L&amp;G</oddHeader>
    <oddFooter>&amp;RPágina &amp;P de &amp;N</oddFooter>
    <firstHeader>&amp;L&amp;G</firstHeader>
    <firstFooter>&amp;RPágina &amp;P de &amp;N</first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73FD44C-51DF-4D6C-BD99-5DA3DE537C6C}">
          <x14:formula1>
            <xm:f>#REF!</xm:f>
          </x14:formula1>
          <xm:sqref>D28:J28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A211-73DE-456B-BBC9-E26948FE51ED}">
  <dimension ref="A1:X136"/>
  <sheetViews>
    <sheetView showGridLines="0" topLeftCell="A115" zoomScaleNormal="100" workbookViewId="0">
      <selection activeCell="P67" activeCellId="9" sqref="P114:T120 P106:T106 P105:T105 P104:T104 P97:T97 P96:T96 P89:T94 P88:T88 P75:T87 P67:T67"/>
    </sheetView>
  </sheetViews>
  <sheetFormatPr defaultColWidth="8.88671875" defaultRowHeight="14.4" x14ac:dyDescent="0.3"/>
  <cols>
    <col min="1" max="1" width="1.6640625" customWidth="1"/>
    <col min="2" max="7" width="5.109375" customWidth="1"/>
    <col min="8" max="8" width="10.88671875" customWidth="1"/>
    <col min="9" max="11" width="5.109375" customWidth="1"/>
    <col min="12" max="12" width="21.109375" customWidth="1"/>
    <col min="13" max="20" width="5.109375" customWidth="1"/>
    <col min="21" max="22" width="1.6640625" customWidth="1"/>
    <col min="27" max="27" width="12.109375" bestFit="1" customWidth="1"/>
    <col min="28" max="28" width="107.6640625" bestFit="1" customWidth="1"/>
  </cols>
  <sheetData>
    <row r="1" spans="2:20" x14ac:dyDescent="0.3">
      <c r="B1" s="161" t="e" vm="1">
        <v>#VALUE!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2:20" x14ac:dyDescent="0.3">
      <c r="B2" s="161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2:20" x14ac:dyDescent="0.3">
      <c r="B3" s="163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</row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  <c r="K4" s="69"/>
      <c r="L4" s="70"/>
      <c r="M4" s="70"/>
      <c r="N4" s="70"/>
      <c r="O4" s="70"/>
      <c r="P4" s="70"/>
      <c r="Q4" s="70"/>
      <c r="R4" s="70"/>
      <c r="S4" s="70"/>
      <c r="T4" s="70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156"/>
      <c r="K8" s="52"/>
      <c r="L8" s="52"/>
      <c r="M8" s="52"/>
      <c r="N8" s="52"/>
      <c r="O8" s="52"/>
      <c r="P8" s="52"/>
      <c r="Q8" s="52"/>
      <c r="R8" s="52"/>
      <c r="S8" s="52"/>
      <c r="T8" s="52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69"/>
      <c r="K9" s="70"/>
      <c r="L9" s="70"/>
      <c r="M9" s="70"/>
      <c r="N9" s="70"/>
      <c r="O9" s="70"/>
      <c r="P9" s="70"/>
      <c r="Q9" s="70"/>
      <c r="R9" s="70"/>
      <c r="S9" s="70"/>
      <c r="T9" s="70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 t="s">
        <v>192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 t="s">
        <v>193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  <c r="K13" s="156"/>
      <c r="L13" s="52"/>
      <c r="M13" s="52"/>
      <c r="N13" s="52"/>
      <c r="O13" s="52"/>
      <c r="P13" s="52"/>
      <c r="Q13" s="52"/>
      <c r="R13" s="52"/>
      <c r="S13" s="52"/>
      <c r="T13" s="52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  <c r="K14" s="69"/>
      <c r="L14" s="70"/>
      <c r="M14" s="70"/>
      <c r="N14" s="70"/>
      <c r="O14" s="70"/>
      <c r="P14" s="70"/>
      <c r="Q14" s="70"/>
      <c r="R14" s="70"/>
      <c r="S14" s="70"/>
      <c r="T14" s="70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ht="14.4" customHeight="1" x14ac:dyDescent="0.3">
      <c r="B16" s="39" t="s">
        <v>102</v>
      </c>
      <c r="C16" s="40"/>
      <c r="D16" s="40"/>
      <c r="E16" s="40"/>
      <c r="F16" s="40"/>
      <c r="G16" s="40"/>
      <c r="H16" s="40"/>
      <c r="I16" s="40"/>
      <c r="J16" s="41"/>
      <c r="K16" s="39" t="s">
        <v>103</v>
      </c>
      <c r="L16" s="40"/>
      <c r="M16" s="40"/>
      <c r="N16" s="40"/>
      <c r="O16" s="40"/>
      <c r="P16" s="40"/>
      <c r="Q16" s="40"/>
      <c r="R16" s="40"/>
      <c r="S16" s="40"/>
      <c r="T16" s="40"/>
    </row>
    <row r="17" spans="2:24" ht="14.4" customHeight="1" x14ac:dyDescent="0.3">
      <c r="B17" s="39" t="s">
        <v>104</v>
      </c>
      <c r="C17" s="40"/>
      <c r="D17" s="40"/>
      <c r="E17" s="40"/>
      <c r="F17" s="40"/>
      <c r="G17" s="40"/>
      <c r="H17" s="40"/>
      <c r="I17" s="40"/>
      <c r="J17" s="41"/>
      <c r="K17" s="39" t="s">
        <v>103</v>
      </c>
      <c r="L17" s="40"/>
      <c r="M17" s="40"/>
      <c r="N17" s="40"/>
      <c r="O17" s="40"/>
      <c r="P17" s="40"/>
      <c r="Q17" s="40"/>
      <c r="R17" s="40"/>
      <c r="S17" s="40"/>
      <c r="T17" s="40"/>
    </row>
    <row r="18" spans="2:24" ht="14.4" customHeight="1" x14ac:dyDescent="0.3">
      <c r="B18" s="39" t="s">
        <v>105</v>
      </c>
      <c r="C18" s="40"/>
      <c r="D18" s="40"/>
      <c r="E18" s="40"/>
      <c r="F18" s="40"/>
      <c r="G18" s="40"/>
      <c r="H18" s="40"/>
      <c r="I18" s="40"/>
      <c r="J18" s="41"/>
      <c r="K18" s="39" t="s">
        <v>103</v>
      </c>
      <c r="L18" s="40"/>
      <c r="M18" s="40"/>
      <c r="N18" s="40"/>
      <c r="O18" s="40"/>
      <c r="P18" s="40"/>
      <c r="Q18" s="40"/>
      <c r="R18" s="40"/>
      <c r="S18" s="40"/>
      <c r="T18" s="40"/>
    </row>
    <row r="19" spans="2:24" ht="14.4" customHeight="1" x14ac:dyDescent="0.3">
      <c r="B19" s="39" t="s">
        <v>106</v>
      </c>
      <c r="C19" s="40"/>
      <c r="D19" s="40"/>
      <c r="E19" s="40"/>
      <c r="F19" s="40"/>
      <c r="G19" s="40"/>
      <c r="H19" s="40"/>
      <c r="I19" s="40"/>
      <c r="J19" s="41"/>
      <c r="K19" s="39" t="s">
        <v>103</v>
      </c>
      <c r="L19" s="40"/>
      <c r="M19" s="40"/>
      <c r="N19" s="40"/>
      <c r="O19" s="40"/>
      <c r="P19" s="40"/>
      <c r="Q19" s="40"/>
      <c r="R19" s="40"/>
      <c r="S19" s="40"/>
      <c r="T19" s="40"/>
    </row>
    <row r="20" spans="2:24" ht="14.4" customHeight="1" x14ac:dyDescent="0.3">
      <c r="B20" s="39" t="s">
        <v>107</v>
      </c>
      <c r="C20" s="40"/>
      <c r="D20" s="40"/>
      <c r="E20" s="40"/>
      <c r="F20" s="40"/>
      <c r="G20" s="40"/>
      <c r="H20" s="40"/>
      <c r="I20" s="40"/>
      <c r="J20" s="41"/>
      <c r="K20" s="39" t="s">
        <v>103</v>
      </c>
      <c r="L20" s="40"/>
      <c r="M20" s="40"/>
      <c r="N20" s="40"/>
      <c r="O20" s="40"/>
      <c r="P20" s="40"/>
      <c r="Q20" s="40"/>
      <c r="R20" s="40"/>
      <c r="S20" s="40"/>
      <c r="T20" s="40"/>
    </row>
    <row r="21" spans="2:24" x14ac:dyDescent="0.3">
      <c r="B21" s="6"/>
      <c r="C21" s="6"/>
      <c r="D21" s="6"/>
      <c r="E21" s="6"/>
      <c r="F21" s="6"/>
      <c r="G21" s="6"/>
      <c r="H21" s="6"/>
      <c r="I21" s="6"/>
      <c r="J21" s="6"/>
      <c r="K21" s="156"/>
      <c r="L21" s="52"/>
      <c r="M21" s="52"/>
      <c r="N21" s="52"/>
      <c r="O21" s="52"/>
      <c r="P21" s="52"/>
      <c r="Q21" s="52"/>
      <c r="R21" s="52"/>
      <c r="S21" s="52"/>
      <c r="T21" s="52"/>
    </row>
    <row r="22" spans="2:24" ht="18" x14ac:dyDescent="0.35">
      <c r="B22" s="1" t="s">
        <v>17</v>
      </c>
      <c r="C22" s="2"/>
      <c r="D22" s="2"/>
      <c r="E22" s="2"/>
      <c r="G22" s="2"/>
      <c r="H22" s="2"/>
      <c r="I22" s="2"/>
      <c r="J22" s="2"/>
      <c r="K22" s="157"/>
      <c r="L22" s="160"/>
      <c r="M22" s="160"/>
      <c r="N22" s="160"/>
      <c r="O22" s="160"/>
      <c r="P22" s="160"/>
      <c r="Q22" s="160"/>
      <c r="R22" s="160"/>
      <c r="S22" s="160"/>
      <c r="T22" s="160"/>
    </row>
    <row r="23" spans="2:24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  <c r="K23" s="157"/>
      <c r="L23" s="160"/>
      <c r="M23" s="160"/>
      <c r="N23" s="160"/>
      <c r="O23" s="160"/>
      <c r="P23" s="160"/>
      <c r="Q23" s="160"/>
      <c r="R23" s="160"/>
      <c r="S23" s="160"/>
      <c r="T23" s="160"/>
    </row>
    <row r="24" spans="2:24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K24" s="156"/>
      <c r="L24" s="48" t="s">
        <v>20</v>
      </c>
      <c r="M24" s="49"/>
      <c r="N24" s="45" t="s">
        <v>194</v>
      </c>
      <c r="O24" s="46"/>
      <c r="P24" s="46"/>
      <c r="Q24" s="46"/>
      <c r="R24" s="46"/>
      <c r="S24" s="46"/>
      <c r="T24" s="47"/>
    </row>
    <row r="25" spans="2:24" ht="16.2" x14ac:dyDescent="0.35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K25" s="157"/>
      <c r="L25" s="48" t="s">
        <v>22</v>
      </c>
      <c r="M25" s="49"/>
      <c r="N25" s="155"/>
      <c r="O25" s="46"/>
      <c r="P25" s="46"/>
      <c r="Q25" s="46"/>
      <c r="R25" s="46"/>
      <c r="S25" s="46"/>
      <c r="T25" s="47"/>
      <c r="X25" s="25"/>
    </row>
    <row r="26" spans="2:24" ht="16.2" x14ac:dyDescent="0.35">
      <c r="B26" s="2"/>
      <c r="C26" s="2"/>
      <c r="D26" s="2"/>
      <c r="E26" s="2"/>
      <c r="F26" s="2"/>
      <c r="G26" s="2"/>
      <c r="H26" s="2"/>
      <c r="I26" s="2"/>
      <c r="J26" s="2"/>
      <c r="K26" s="157"/>
      <c r="L26" s="5"/>
      <c r="M26" s="5"/>
      <c r="N26" s="5"/>
      <c r="O26" s="5"/>
      <c r="P26" s="5"/>
      <c r="Q26" s="5"/>
      <c r="R26" s="5"/>
      <c r="S26" s="5"/>
      <c r="T26" s="5"/>
      <c r="X26" s="25"/>
    </row>
    <row r="27" spans="2:24" x14ac:dyDescent="0.3">
      <c r="B27" s="153" t="s">
        <v>108</v>
      </c>
      <c r="C27" s="154"/>
      <c r="D27" s="154"/>
      <c r="E27" s="154"/>
      <c r="F27" s="154"/>
      <c r="G27" s="154"/>
      <c r="H27" s="154"/>
      <c r="I27" s="154"/>
      <c r="J27" s="154"/>
      <c r="K27" s="156"/>
      <c r="L27" s="24"/>
      <c r="M27" s="24"/>
      <c r="N27" s="24"/>
      <c r="O27" s="24"/>
      <c r="P27" s="24"/>
      <c r="Q27" s="24"/>
      <c r="R27" s="24"/>
      <c r="S27" s="24"/>
      <c r="T27" s="24"/>
    </row>
    <row r="28" spans="2:24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K28" s="157"/>
      <c r="L28" s="158" t="s">
        <v>20</v>
      </c>
      <c r="M28" s="159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4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K29" s="15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4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4" x14ac:dyDescent="0.3">
      <c r="B31" s="153" t="s">
        <v>109</v>
      </c>
      <c r="C31" s="154"/>
      <c r="D31" s="154"/>
      <c r="E31" s="154"/>
      <c r="F31" s="154"/>
      <c r="G31" s="154"/>
      <c r="H31" s="154"/>
      <c r="I31" s="154"/>
      <c r="J31" s="154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4" x14ac:dyDescent="0.3">
      <c r="B32" s="16" t="s">
        <v>19</v>
      </c>
      <c r="C32" s="16"/>
      <c r="D32" s="45"/>
      <c r="E32" s="46"/>
      <c r="F32" s="46"/>
      <c r="G32" s="46"/>
      <c r="H32" s="46"/>
      <c r="I32" s="46"/>
      <c r="J32" s="47"/>
      <c r="K32" s="5"/>
      <c r="L32" s="48" t="s">
        <v>20</v>
      </c>
      <c r="M32" s="53"/>
      <c r="N32" s="45"/>
      <c r="O32" s="46"/>
      <c r="P32" s="46"/>
      <c r="Q32" s="46"/>
      <c r="R32" s="46"/>
      <c r="S32" s="46"/>
      <c r="T32" s="47"/>
    </row>
    <row r="33" spans="2:20" x14ac:dyDescent="0.3">
      <c r="B33" s="16" t="s">
        <v>21</v>
      </c>
      <c r="C33" s="16"/>
      <c r="D33" s="45"/>
      <c r="E33" s="46"/>
      <c r="F33" s="46"/>
      <c r="G33" s="46"/>
      <c r="H33" s="46"/>
      <c r="I33" s="46"/>
      <c r="J33" s="47"/>
      <c r="K33" s="5"/>
      <c r="L33" s="48" t="s">
        <v>22</v>
      </c>
      <c r="M33" s="53"/>
      <c r="N33" s="155"/>
      <c r="O33" s="46"/>
      <c r="P33" s="46"/>
      <c r="Q33" s="46"/>
      <c r="R33" s="46"/>
      <c r="S33" s="46"/>
      <c r="T33" s="47"/>
    </row>
    <row r="34" spans="2:20" x14ac:dyDescent="0.3">
      <c r="B34" s="2"/>
      <c r="C34" s="2"/>
      <c r="D34" s="2"/>
      <c r="E34" s="2"/>
      <c r="F34" s="2"/>
      <c r="G34" s="2"/>
      <c r="H34" s="2"/>
      <c r="I34" s="2"/>
      <c r="J34" s="2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 ht="18" x14ac:dyDescent="0.35">
      <c r="B35" s="1" t="s">
        <v>24</v>
      </c>
      <c r="C35" s="2"/>
      <c r="D35" s="2"/>
      <c r="E35" s="2"/>
      <c r="F35" s="2"/>
      <c r="G35" s="2"/>
      <c r="H35" s="2"/>
      <c r="I35" s="2"/>
      <c r="J35" s="2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 x14ac:dyDescent="0.3">
      <c r="B36" s="48" t="s">
        <v>25</v>
      </c>
      <c r="C36" s="49"/>
      <c r="D36" s="49"/>
      <c r="E36" s="49"/>
      <c r="F36" s="49"/>
      <c r="G36" s="43" t="s">
        <v>26</v>
      </c>
      <c r="H36" s="43"/>
      <c r="I36" s="43"/>
      <c r="J36" s="43"/>
      <c r="K36" s="5"/>
      <c r="L36" s="50" t="s">
        <v>110</v>
      </c>
      <c r="M36" s="50"/>
      <c r="N36" s="50"/>
      <c r="O36" s="50"/>
      <c r="P36" s="50"/>
      <c r="Q36" s="43" t="s">
        <v>30</v>
      </c>
      <c r="R36" s="43"/>
      <c r="S36" s="43"/>
      <c r="T36" s="43"/>
    </row>
    <row r="37" spans="2:20" ht="39.75" customHeight="1" x14ac:dyDescent="0.3">
      <c r="B37" s="149" t="s">
        <v>111</v>
      </c>
      <c r="C37" s="150"/>
      <c r="D37" s="150"/>
      <c r="E37" s="150"/>
      <c r="F37" s="150"/>
      <c r="G37" s="151" t="s">
        <v>30</v>
      </c>
      <c r="H37" s="151"/>
      <c r="I37" s="151"/>
      <c r="J37" s="151"/>
      <c r="K37" s="5"/>
      <c r="L37" s="152" t="s">
        <v>112</v>
      </c>
      <c r="M37" s="152"/>
      <c r="N37" s="152"/>
      <c r="O37" s="152"/>
      <c r="P37" s="152"/>
      <c r="Q37" s="151" t="s">
        <v>33</v>
      </c>
      <c r="R37" s="151"/>
      <c r="S37" s="151"/>
      <c r="T37" s="151"/>
    </row>
    <row r="38" spans="2:20" x14ac:dyDescent="0.3">
      <c r="B38" s="59" t="s">
        <v>113</v>
      </c>
      <c r="C38" s="60"/>
      <c r="D38" s="60"/>
      <c r="E38" s="60"/>
      <c r="F38" s="60"/>
      <c r="G38" s="60"/>
      <c r="H38" s="60"/>
      <c r="I38" s="43" t="s">
        <v>33</v>
      </c>
      <c r="J38" s="43"/>
      <c r="K38" s="5"/>
      <c r="L38" s="50" t="s">
        <v>114</v>
      </c>
      <c r="M38" s="50"/>
      <c r="N38" s="50"/>
      <c r="O38" s="50"/>
      <c r="P38" s="50"/>
      <c r="Q38" s="43" t="s">
        <v>33</v>
      </c>
      <c r="R38" s="43"/>
      <c r="S38" s="43"/>
      <c r="T38" s="43"/>
    </row>
    <row r="39" spans="2:20" ht="15" customHeight="1" x14ac:dyDescent="0.3">
      <c r="B39" s="146" t="str">
        <f>IF(I38="SIM","Ambiente com backup íntegro","ATENÇÃO: AMBIENTE SEM BACKUP ÍNTEGRO")</f>
        <v>ATENÇÃO: AMBIENTE SEM BACKUP ÍNTEGRO</v>
      </c>
      <c r="C39" s="147"/>
      <c r="D39" s="147"/>
      <c r="E39" s="147"/>
      <c r="F39" s="147"/>
      <c r="G39" s="147"/>
      <c r="H39" s="147"/>
      <c r="I39" s="147"/>
      <c r="J39" s="148"/>
      <c r="K39" s="5"/>
      <c r="L39" s="146" t="str">
        <f>IF(Q38="SIM","Ambiente protegido por Dataguard/Standby.","ATENÇÃO: AMBIENTE SEM REDUNDÂNCIA DE DADOS")</f>
        <v>ATENÇÃO: AMBIENTE SEM REDUNDÂNCIA DE DADOS</v>
      </c>
      <c r="M39" s="147"/>
      <c r="N39" s="147"/>
      <c r="O39" s="147"/>
      <c r="P39" s="147"/>
      <c r="Q39" s="147"/>
      <c r="R39" s="147"/>
      <c r="S39" s="147"/>
      <c r="T39" s="148"/>
    </row>
    <row r="40" spans="2:20" ht="18" x14ac:dyDescent="0.35">
      <c r="B40" s="1" t="s">
        <v>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 x14ac:dyDescent="0.3">
      <c r="B41" s="54" t="s">
        <v>116</v>
      </c>
      <c r="C41" s="54"/>
      <c r="D41" s="54"/>
      <c r="E41" s="54"/>
      <c r="F41" s="54"/>
      <c r="G41" s="54"/>
      <c r="H41" s="54"/>
      <c r="I41" s="54"/>
      <c r="J41" s="54"/>
      <c r="K41" s="54"/>
      <c r="L41" s="55" t="s">
        <v>117</v>
      </c>
      <c r="M41" s="55"/>
      <c r="N41" s="55"/>
      <c r="O41" s="55"/>
      <c r="P41" s="55"/>
      <c r="Q41" s="55"/>
      <c r="R41" s="55"/>
      <c r="S41" s="55"/>
      <c r="T41" s="55"/>
    </row>
    <row r="42" spans="2:20" x14ac:dyDescent="0.3">
      <c r="B42" s="54" t="s">
        <v>116</v>
      </c>
      <c r="C42" s="54"/>
      <c r="D42" s="54"/>
      <c r="E42" s="54"/>
      <c r="F42" s="54"/>
      <c r="G42" s="54"/>
      <c r="H42" s="54"/>
      <c r="I42" s="54"/>
      <c r="J42" s="54"/>
      <c r="K42" s="54"/>
      <c r="L42" s="56" t="s">
        <v>118</v>
      </c>
      <c r="M42" s="56"/>
      <c r="N42" s="56"/>
      <c r="O42" s="56"/>
      <c r="P42" s="56"/>
      <c r="Q42" s="56"/>
      <c r="R42" s="56"/>
      <c r="S42" s="56"/>
      <c r="T42" s="56"/>
    </row>
    <row r="43" spans="2:20" x14ac:dyDescent="0.3">
      <c r="B43" s="54" t="str">
        <f>IF(L42&lt;&gt;"","Tempo total de execução:","")</f>
        <v>Tempo total de execução:</v>
      </c>
      <c r="C43" s="54"/>
      <c r="D43" s="54"/>
      <c r="E43" s="54"/>
      <c r="F43" s="54"/>
      <c r="G43" s="54"/>
      <c r="H43" s="54"/>
      <c r="I43" s="54"/>
      <c r="J43" s="54"/>
      <c r="K43" s="54"/>
      <c r="L43" s="57">
        <v>0.125</v>
      </c>
      <c r="M43" s="58"/>
      <c r="N43" s="58"/>
      <c r="O43" s="58"/>
      <c r="P43" s="58"/>
      <c r="Q43" s="58"/>
      <c r="R43" s="58"/>
      <c r="S43" s="58"/>
      <c r="T43" s="58"/>
    </row>
    <row r="44" spans="2:20" x14ac:dyDescent="0.3">
      <c r="B44" s="54" t="str">
        <f>IF(L43&lt;&gt;"","Tempo total de paralização:","")</f>
        <v>Tempo total de paralização: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0.125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54" t="str">
        <f>IF(L44&lt;&gt;"","Tempo total para testes","")</f>
        <v>Tempo total para testes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4.1666666666666664E-2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tentativa de correções:","")</f>
        <v>Tempo total para tentativa de correções: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2.0833333333333332E-2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54" t="s">
        <v>119</v>
      </c>
      <c r="C47" s="54"/>
      <c r="D47" s="54"/>
      <c r="E47" s="54"/>
      <c r="F47" s="54"/>
      <c r="G47" s="54"/>
      <c r="H47" s="54"/>
      <c r="I47" s="54"/>
      <c r="J47" s="54"/>
      <c r="K47" s="54"/>
      <c r="L47" s="63">
        <v>0.41666666666666669</v>
      </c>
      <c r="M47" s="64"/>
      <c r="N47" s="64"/>
      <c r="O47" s="64"/>
      <c r="P47" s="64"/>
      <c r="Q47" s="64"/>
      <c r="R47" s="64"/>
      <c r="S47" s="64"/>
      <c r="T47" s="65"/>
    </row>
    <row r="48" spans="2:20" x14ac:dyDescent="0.3">
      <c r="B48" s="66"/>
      <c r="C48" s="67"/>
      <c r="D48" s="67"/>
      <c r="E48" s="6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 ht="18" x14ac:dyDescent="0.35">
      <c r="B49" s="1" t="s">
        <v>37</v>
      </c>
      <c r="C49" s="1"/>
      <c r="D49" s="1"/>
      <c r="E49" s="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 ht="15" customHeight="1" x14ac:dyDescent="0.3">
      <c r="B50" s="26" t="s">
        <v>120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 s="19" customFormat="1" x14ac:dyDescent="0.3">
      <c r="B51" s="72" t="s">
        <v>38</v>
      </c>
      <c r="C51" s="72"/>
      <c r="D51" s="72"/>
      <c r="E51" s="72"/>
      <c r="F51" s="72"/>
      <c r="G51" s="72"/>
      <c r="H51" s="72"/>
      <c r="I51" s="73" t="s">
        <v>39</v>
      </c>
      <c r="J51" s="73"/>
      <c r="K51" s="73"/>
      <c r="L51" s="73" t="s">
        <v>40</v>
      </c>
      <c r="M51" s="73"/>
      <c r="N51" s="72" t="s">
        <v>41</v>
      </c>
      <c r="O51" s="72"/>
      <c r="P51" s="72"/>
      <c r="Q51" s="72"/>
      <c r="R51" s="72"/>
      <c r="S51" s="72"/>
      <c r="T51" s="72"/>
    </row>
    <row r="52" spans="2:20" s="19" customFormat="1" ht="29.25" customHeight="1" x14ac:dyDescent="0.3">
      <c r="B52" s="74" t="s">
        <v>121</v>
      </c>
      <c r="C52" s="74"/>
      <c r="D52" s="74"/>
      <c r="E52" s="74"/>
      <c r="F52" s="74"/>
      <c r="G52" s="74"/>
      <c r="H52" s="74"/>
      <c r="I52" s="75" t="s">
        <v>122</v>
      </c>
      <c r="J52" s="75"/>
      <c r="K52" s="75"/>
      <c r="L52" s="75" t="s">
        <v>44</v>
      </c>
      <c r="M52" s="75"/>
      <c r="N52" s="74" t="s">
        <v>123</v>
      </c>
      <c r="O52" s="74"/>
      <c r="P52" s="74"/>
      <c r="Q52" s="74"/>
      <c r="R52" s="74"/>
      <c r="S52" s="74"/>
      <c r="T52" s="74"/>
    </row>
    <row r="53" spans="2:20" s="19" customFormat="1" ht="30" customHeight="1" x14ac:dyDescent="0.3">
      <c r="B53" s="74" t="s">
        <v>124</v>
      </c>
      <c r="C53" s="74"/>
      <c r="D53" s="74"/>
      <c r="E53" s="74"/>
      <c r="F53" s="74"/>
      <c r="G53" s="74"/>
      <c r="H53" s="74"/>
      <c r="I53" s="75" t="s">
        <v>122</v>
      </c>
      <c r="J53" s="75"/>
      <c r="K53" s="75"/>
      <c r="L53" s="75" t="s">
        <v>44</v>
      </c>
      <c r="M53" s="75"/>
      <c r="N53" s="74" t="s">
        <v>123</v>
      </c>
      <c r="O53" s="74"/>
      <c r="P53" s="74"/>
      <c r="Q53" s="74"/>
      <c r="R53" s="74"/>
      <c r="S53" s="74"/>
      <c r="T53" s="74"/>
    </row>
    <row r="54" spans="2:20" s="19" customFormat="1" ht="17.25" customHeight="1" x14ac:dyDescent="0.3">
      <c r="B54" s="74" t="s">
        <v>125</v>
      </c>
      <c r="C54" s="74"/>
      <c r="D54" s="74"/>
      <c r="E54" s="74"/>
      <c r="F54" s="74"/>
      <c r="G54" s="74"/>
      <c r="H54" s="74"/>
      <c r="I54" s="75" t="s">
        <v>43</v>
      </c>
      <c r="J54" s="75"/>
      <c r="K54" s="75"/>
      <c r="L54" s="75" t="s">
        <v>44</v>
      </c>
      <c r="M54" s="75"/>
      <c r="N54" s="74" t="s">
        <v>126</v>
      </c>
      <c r="O54" s="74"/>
      <c r="P54" s="74"/>
      <c r="Q54" s="74"/>
      <c r="R54" s="74"/>
      <c r="S54" s="74"/>
      <c r="T54" s="74"/>
    </row>
    <row r="55" spans="2:20" s="19" customFormat="1" ht="33" customHeight="1" x14ac:dyDescent="0.3">
      <c r="B55" s="74" t="s">
        <v>127</v>
      </c>
      <c r="C55" s="74"/>
      <c r="D55" s="74"/>
      <c r="E55" s="74"/>
      <c r="F55" s="74"/>
      <c r="G55" s="74"/>
      <c r="H55" s="74"/>
      <c r="I55" s="75" t="s">
        <v>43</v>
      </c>
      <c r="J55" s="75"/>
      <c r="K55" s="75"/>
      <c r="L55" s="75" t="s">
        <v>44</v>
      </c>
      <c r="M55" s="75"/>
      <c r="N55" s="74" t="s">
        <v>128</v>
      </c>
      <c r="O55" s="74"/>
      <c r="P55" s="74"/>
      <c r="Q55" s="74"/>
      <c r="R55" s="74"/>
      <c r="S55" s="74"/>
      <c r="T55" s="74"/>
    </row>
    <row r="56" spans="2:20" s="19" customFormat="1" ht="27.75" customHeight="1" x14ac:dyDescent="0.3">
      <c r="B56" s="74" t="s">
        <v>129</v>
      </c>
      <c r="C56" s="74"/>
      <c r="D56" s="74"/>
      <c r="E56" s="74"/>
      <c r="F56" s="74"/>
      <c r="G56" s="74"/>
      <c r="H56" s="74"/>
      <c r="I56" s="75" t="s">
        <v>122</v>
      </c>
      <c r="J56" s="75"/>
      <c r="K56" s="75"/>
      <c r="L56" s="75" t="s">
        <v>44</v>
      </c>
      <c r="M56" s="75"/>
      <c r="N56" s="74" t="s">
        <v>126</v>
      </c>
      <c r="O56" s="74"/>
      <c r="P56" s="74"/>
      <c r="Q56" s="74"/>
      <c r="R56" s="74"/>
      <c r="S56" s="74"/>
      <c r="T56" s="74"/>
    </row>
    <row r="57" spans="2:20" s="19" customFormat="1" ht="30" customHeight="1" x14ac:dyDescent="0.3">
      <c r="B57" s="74" t="s">
        <v>130</v>
      </c>
      <c r="C57" s="74"/>
      <c r="D57" s="74"/>
      <c r="E57" s="74"/>
      <c r="F57" s="74"/>
      <c r="G57" s="74"/>
      <c r="H57" s="74"/>
      <c r="I57" s="75" t="s">
        <v>131</v>
      </c>
      <c r="J57" s="75"/>
      <c r="K57" s="75"/>
      <c r="L57" s="75" t="s">
        <v>44</v>
      </c>
      <c r="M57" s="75"/>
      <c r="N57" s="74" t="s">
        <v>132</v>
      </c>
      <c r="O57" s="74"/>
      <c r="P57" s="74"/>
      <c r="Q57" s="74"/>
      <c r="R57" s="74"/>
      <c r="S57" s="74"/>
      <c r="T57" s="74"/>
    </row>
    <row r="58" spans="2:20" s="19" customFormat="1" ht="15" customHeight="1" x14ac:dyDescent="0.3">
      <c r="B58" s="74" t="s">
        <v>133</v>
      </c>
      <c r="C58" s="74"/>
      <c r="D58" s="74"/>
      <c r="E58" s="74"/>
      <c r="F58" s="74"/>
      <c r="G58" s="74"/>
      <c r="H58" s="74"/>
      <c r="I58" s="75" t="s">
        <v>131</v>
      </c>
      <c r="J58" s="75"/>
      <c r="K58" s="75"/>
      <c r="L58" s="75" t="s">
        <v>44</v>
      </c>
      <c r="M58" s="75"/>
      <c r="N58" s="74" t="s">
        <v>132</v>
      </c>
      <c r="O58" s="74"/>
      <c r="P58" s="74"/>
      <c r="Q58" s="74"/>
      <c r="R58" s="74"/>
      <c r="S58" s="74"/>
      <c r="T58" s="74"/>
    </row>
    <row r="59" spans="2:20" s="19" customFormat="1" x14ac:dyDescent="0.3">
      <c r="B59" s="74" t="s">
        <v>134</v>
      </c>
      <c r="C59" s="74"/>
      <c r="D59" s="74"/>
      <c r="E59" s="74"/>
      <c r="F59" s="74"/>
      <c r="G59" s="74"/>
      <c r="H59" s="74"/>
      <c r="I59" s="75" t="s">
        <v>131</v>
      </c>
      <c r="J59" s="75"/>
      <c r="K59" s="75"/>
      <c r="L59" s="75" t="s">
        <v>44</v>
      </c>
      <c r="M59" s="75"/>
      <c r="N59" s="74" t="s">
        <v>132</v>
      </c>
      <c r="O59" s="74"/>
      <c r="P59" s="74"/>
      <c r="Q59" s="74"/>
      <c r="R59" s="74"/>
      <c r="S59" s="74"/>
      <c r="T59" s="74"/>
    </row>
    <row r="60" spans="2:20" s="19" customFormat="1" x14ac:dyDescent="0.3">
      <c r="B60" s="74" t="s">
        <v>135</v>
      </c>
      <c r="C60" s="74"/>
      <c r="D60" s="74"/>
      <c r="E60" s="74"/>
      <c r="F60" s="74"/>
      <c r="G60" s="74"/>
      <c r="H60" s="74"/>
      <c r="I60" s="75" t="s">
        <v>131</v>
      </c>
      <c r="J60" s="75"/>
      <c r="K60" s="75"/>
      <c r="L60" s="75" t="s">
        <v>44</v>
      </c>
      <c r="M60" s="75"/>
      <c r="N60" s="74" t="s">
        <v>132</v>
      </c>
      <c r="O60" s="74"/>
      <c r="P60" s="74"/>
      <c r="Q60" s="74"/>
      <c r="R60" s="74"/>
      <c r="S60" s="74"/>
      <c r="T60" s="74"/>
    </row>
    <row r="61" spans="2:20" s="19" customFormat="1" ht="87" customHeight="1" x14ac:dyDescent="0.3">
      <c r="B61" s="74" t="s">
        <v>136</v>
      </c>
      <c r="C61" s="74"/>
      <c r="D61" s="74"/>
      <c r="E61" s="74"/>
      <c r="F61" s="74"/>
      <c r="G61" s="74"/>
      <c r="H61" s="74"/>
      <c r="I61" s="75" t="s">
        <v>131</v>
      </c>
      <c r="J61" s="75"/>
      <c r="K61" s="75"/>
      <c r="L61" s="75" t="s">
        <v>44</v>
      </c>
      <c r="M61" s="75"/>
      <c r="N61" s="74" t="s">
        <v>132</v>
      </c>
      <c r="O61" s="74"/>
      <c r="P61" s="74"/>
      <c r="Q61" s="74"/>
      <c r="R61" s="74"/>
      <c r="S61" s="74"/>
      <c r="T61" s="74"/>
    </row>
    <row r="62" spans="2:20" x14ac:dyDescent="0.3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 x14ac:dyDescent="0.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 ht="18" x14ac:dyDescent="0.35">
      <c r="B64" s="1" t="s">
        <v>46</v>
      </c>
      <c r="C64" s="1"/>
      <c r="D64" s="1"/>
      <c r="E64" s="1"/>
      <c r="F64" s="1"/>
      <c r="G64" s="1"/>
      <c r="H64" s="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 ht="15" customHeight="1" x14ac:dyDescent="0.3">
      <c r="B65" s="26" t="s">
        <v>137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s="19" customFormat="1" x14ac:dyDescent="0.3">
      <c r="B66" s="72" t="s">
        <v>47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3" t="s">
        <v>48</v>
      </c>
      <c r="N66" s="73"/>
      <c r="O66" s="73"/>
      <c r="P66" s="73" t="s">
        <v>49</v>
      </c>
      <c r="Q66" s="73"/>
      <c r="R66" s="73"/>
      <c r="S66" s="73"/>
      <c r="T66" s="73"/>
    </row>
    <row r="67" spans="1:20" s="19" customFormat="1" ht="15" customHeight="1" x14ac:dyDescent="0.3">
      <c r="B67" s="76" t="s">
        <v>138</v>
      </c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7" t="s">
        <v>51</v>
      </c>
      <c r="N67" s="77"/>
      <c r="O67" s="77"/>
      <c r="P67" s="77" t="str">
        <f t="shared" ref="P67" si="0">$D$28</f>
        <v>Murilo Moraes</v>
      </c>
      <c r="Q67" s="77"/>
      <c r="R67" s="77"/>
      <c r="S67" s="77"/>
      <c r="T67" s="77"/>
    </row>
    <row r="68" spans="1:20" s="19" customFormat="1" x14ac:dyDescent="0.3">
      <c r="B68" s="76" t="s">
        <v>140</v>
      </c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7" t="s">
        <v>51</v>
      </c>
      <c r="N68" s="77"/>
      <c r="O68" s="77"/>
      <c r="P68" s="77">
        <f t="shared" ref="P68:P70" si="1">$D$24</f>
        <v>0</v>
      </c>
      <c r="Q68" s="77"/>
      <c r="R68" s="77"/>
      <c r="S68" s="77"/>
      <c r="T68" s="77"/>
    </row>
    <row r="69" spans="1:20" s="19" customFormat="1" x14ac:dyDescent="0.3">
      <c r="B69" s="76" t="s">
        <v>141</v>
      </c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7" t="s">
        <v>51</v>
      </c>
      <c r="N69" s="77"/>
      <c r="O69" s="77"/>
      <c r="P69" s="77">
        <f t="shared" si="1"/>
        <v>0</v>
      </c>
      <c r="Q69" s="77"/>
      <c r="R69" s="77"/>
      <c r="S69" s="77"/>
      <c r="T69" s="77"/>
    </row>
    <row r="70" spans="1:20" s="19" customFormat="1" x14ac:dyDescent="0.3">
      <c r="A70" s="19" t="s">
        <v>142</v>
      </c>
      <c r="B70" s="76" t="s">
        <v>143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7" t="s">
        <v>51</v>
      </c>
      <c r="N70" s="77"/>
      <c r="O70" s="77"/>
      <c r="P70" s="77">
        <f t="shared" si="1"/>
        <v>0</v>
      </c>
      <c r="Q70" s="77"/>
      <c r="R70" s="77"/>
      <c r="S70" s="77"/>
      <c r="T70" s="77"/>
    </row>
    <row r="71" spans="1:20" x14ac:dyDescent="0.3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ht="18" x14ac:dyDescent="0.35">
      <c r="B72" s="1" t="s">
        <v>54</v>
      </c>
      <c r="C72" s="1"/>
      <c r="D72" s="1"/>
      <c r="E72" s="1"/>
      <c r="F72" s="1"/>
      <c r="G72" s="1"/>
      <c r="H72" s="1"/>
      <c r="I72" s="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ht="15" customHeight="1" x14ac:dyDescent="0.3">
      <c r="B73" s="26" t="s">
        <v>144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 spans="1:20" x14ac:dyDescent="0.3">
      <c r="B74" s="84" t="s">
        <v>47</v>
      </c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5" t="s">
        <v>56</v>
      </c>
      <c r="N74" s="85"/>
      <c r="O74" s="85"/>
      <c r="P74" s="86" t="s">
        <v>49</v>
      </c>
      <c r="Q74" s="87"/>
      <c r="R74" s="87"/>
      <c r="S74" s="87"/>
      <c r="T74" s="88"/>
    </row>
    <row r="75" spans="1:20" s="19" customFormat="1" ht="15" customHeight="1" x14ac:dyDescent="0.3">
      <c r="B75" s="89" t="s">
        <v>145</v>
      </c>
      <c r="C75" s="90"/>
      <c r="D75" s="90"/>
      <c r="E75" s="90"/>
      <c r="F75" s="90"/>
      <c r="G75" s="90"/>
      <c r="H75" s="90"/>
      <c r="I75" s="90"/>
      <c r="J75" s="90"/>
      <c r="K75" s="90"/>
      <c r="L75" s="91"/>
      <c r="M75" s="79" t="s">
        <v>33</v>
      </c>
      <c r="N75" s="79"/>
      <c r="O75" s="79"/>
      <c r="P75" s="77" t="str">
        <f t="shared" ref="P75:P87" si="2">$D$28</f>
        <v>Murilo Moraes</v>
      </c>
      <c r="Q75" s="77"/>
      <c r="R75" s="77"/>
      <c r="S75" s="77"/>
      <c r="T75" s="77"/>
    </row>
    <row r="76" spans="1:20" s="19" customFormat="1" ht="28.5" customHeight="1" x14ac:dyDescent="0.3">
      <c r="B76" s="100" t="s">
        <v>146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2"/>
      <c r="M76" s="79" t="s">
        <v>33</v>
      </c>
      <c r="N76" s="79"/>
      <c r="O76" s="79"/>
      <c r="P76" s="77" t="str">
        <f t="shared" si="2"/>
        <v>Murilo Moraes</v>
      </c>
      <c r="Q76" s="77"/>
      <c r="R76" s="77"/>
      <c r="S76" s="77"/>
      <c r="T76" s="77"/>
    </row>
    <row r="77" spans="1:20" s="15" customFormat="1" ht="15" customHeight="1" x14ac:dyDescent="0.3">
      <c r="B77" s="74" t="s">
        <v>147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9" t="s">
        <v>33</v>
      </c>
      <c r="N77" s="79"/>
      <c r="O77" s="79"/>
      <c r="P77" s="77" t="str">
        <f t="shared" si="2"/>
        <v>Murilo Moraes</v>
      </c>
      <c r="Q77" s="77"/>
      <c r="R77" s="77"/>
      <c r="S77" s="77"/>
      <c r="T77" s="77"/>
    </row>
    <row r="78" spans="1:20" s="19" customFormat="1" ht="15.75" customHeight="1" x14ac:dyDescent="0.3">
      <c r="B78" s="76" t="s">
        <v>148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9" t="s">
        <v>33</v>
      </c>
      <c r="N78" s="79"/>
      <c r="O78" s="79"/>
      <c r="P78" s="77" t="str">
        <f t="shared" si="2"/>
        <v>Murilo Moraes</v>
      </c>
      <c r="Q78" s="77"/>
      <c r="R78" s="77"/>
      <c r="S78" s="77"/>
      <c r="T78" s="77"/>
    </row>
    <row r="79" spans="1:20" s="19" customFormat="1" ht="33.75" customHeight="1" x14ac:dyDescent="0.3">
      <c r="B79" s="76" t="s">
        <v>149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 t="s">
        <v>33</v>
      </c>
      <c r="N79" s="79"/>
      <c r="O79" s="79"/>
      <c r="P79" s="77" t="str">
        <f t="shared" si="2"/>
        <v>Murilo Moraes</v>
      </c>
      <c r="Q79" s="77"/>
      <c r="R79" s="77"/>
      <c r="S79" s="77"/>
      <c r="T79" s="77"/>
    </row>
    <row r="80" spans="1:20" s="19" customFormat="1" ht="15.75" customHeight="1" x14ac:dyDescent="0.3">
      <c r="B80" s="76" t="s">
        <v>150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9" t="s">
        <v>33</v>
      </c>
      <c r="N80" s="79"/>
      <c r="O80" s="79"/>
      <c r="P80" s="77" t="str">
        <f t="shared" si="2"/>
        <v>Murilo Moraes</v>
      </c>
      <c r="Q80" s="77"/>
      <c r="R80" s="77"/>
      <c r="S80" s="77"/>
      <c r="T80" s="77"/>
    </row>
    <row r="81" spans="2:20" s="19" customFormat="1" ht="51.75" customHeight="1" x14ac:dyDescent="0.3">
      <c r="B81" s="74" t="s">
        <v>195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9" t="s">
        <v>30</v>
      </c>
      <c r="N81" s="79"/>
      <c r="O81" s="79"/>
      <c r="P81" s="77" t="str">
        <f t="shared" si="2"/>
        <v>Murilo Moraes</v>
      </c>
      <c r="Q81" s="77"/>
      <c r="R81" s="77"/>
      <c r="S81" s="77"/>
      <c r="T81" s="77"/>
    </row>
    <row r="82" spans="2:20" s="19" customFormat="1" ht="15.75" customHeight="1" x14ac:dyDescent="0.3">
      <c r="B82" s="76" t="s">
        <v>151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 t="s">
        <v>30</v>
      </c>
      <c r="N82" s="79"/>
      <c r="O82" s="79"/>
      <c r="P82" s="77" t="str">
        <f t="shared" si="2"/>
        <v>Murilo Moraes</v>
      </c>
      <c r="Q82" s="77"/>
      <c r="R82" s="77"/>
      <c r="S82" s="77"/>
      <c r="T82" s="77"/>
    </row>
    <row r="83" spans="2:20" s="19" customFormat="1" ht="49.5" customHeight="1" x14ac:dyDescent="0.3">
      <c r="B83" s="74" t="s">
        <v>196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9" t="s">
        <v>30</v>
      </c>
      <c r="N83" s="79"/>
      <c r="O83" s="79"/>
      <c r="P83" s="77" t="str">
        <f t="shared" si="2"/>
        <v>Murilo Moraes</v>
      </c>
      <c r="Q83" s="77"/>
      <c r="R83" s="77"/>
      <c r="S83" s="77"/>
      <c r="T83" s="77"/>
    </row>
    <row r="84" spans="2:20" s="19" customFormat="1" x14ac:dyDescent="0.3">
      <c r="B84" s="76" t="s">
        <v>153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 t="s">
        <v>30</v>
      </c>
      <c r="N84" s="79"/>
      <c r="O84" s="79"/>
      <c r="P84" s="77" t="str">
        <f t="shared" si="2"/>
        <v>Murilo Moraes</v>
      </c>
      <c r="Q84" s="77"/>
      <c r="R84" s="77"/>
      <c r="S84" s="77"/>
      <c r="T84" s="77"/>
    </row>
    <row r="85" spans="2:20" s="19" customFormat="1" ht="15" customHeight="1" x14ac:dyDescent="0.3">
      <c r="B85" s="76" t="s">
        <v>154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9" t="s">
        <v>30</v>
      </c>
      <c r="N85" s="79"/>
      <c r="O85" s="79"/>
      <c r="P85" s="77" t="str">
        <f t="shared" si="2"/>
        <v>Murilo Moraes</v>
      </c>
      <c r="Q85" s="77"/>
      <c r="R85" s="77"/>
      <c r="S85" s="77"/>
      <c r="T85" s="77"/>
    </row>
    <row r="86" spans="2:20" s="19" customFormat="1" ht="29.1" customHeight="1" x14ac:dyDescent="0.3">
      <c r="B86" s="76" t="s">
        <v>155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9" t="s">
        <v>30</v>
      </c>
      <c r="N86" s="79"/>
      <c r="O86" s="79"/>
      <c r="P86" s="77" t="str">
        <f t="shared" si="2"/>
        <v>Murilo Moraes</v>
      </c>
      <c r="Q86" s="77"/>
      <c r="R86" s="77"/>
      <c r="S86" s="77"/>
      <c r="T86" s="77"/>
    </row>
    <row r="87" spans="2:20" s="19" customFormat="1" ht="14.4" customHeight="1" x14ac:dyDescent="0.3">
      <c r="B87" s="76" t="s">
        <v>156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9" t="s">
        <v>30</v>
      </c>
      <c r="N87" s="79"/>
      <c r="O87" s="79"/>
      <c r="P87" s="77" t="str">
        <f t="shared" si="2"/>
        <v>Murilo Moraes</v>
      </c>
      <c r="Q87" s="77"/>
      <c r="R87" s="77"/>
      <c r="S87" s="77"/>
      <c r="T87" s="77"/>
    </row>
    <row r="88" spans="2:20" s="19" customFormat="1" x14ac:dyDescent="0.3">
      <c r="B88" s="76" t="s">
        <v>197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9" t="s">
        <v>30</v>
      </c>
      <c r="N88" s="79"/>
      <c r="O88" s="79"/>
      <c r="P88" s="77" t="str">
        <f t="shared" ref="P88" si="3">$D$28</f>
        <v>Murilo Moraes</v>
      </c>
      <c r="Q88" s="77"/>
      <c r="R88" s="77"/>
      <c r="S88" s="77"/>
      <c r="T88" s="77"/>
    </row>
    <row r="89" spans="2:20" s="19" customFormat="1" ht="14.4" customHeight="1" x14ac:dyDescent="0.3">
      <c r="B89" s="76" t="s">
        <v>159</v>
      </c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9" t="s">
        <v>30</v>
      </c>
      <c r="N89" s="79"/>
      <c r="O89" s="79"/>
      <c r="P89" s="77" t="str">
        <f t="shared" ref="P89:P94" si="4">$D$28</f>
        <v>Murilo Moraes</v>
      </c>
      <c r="Q89" s="77"/>
      <c r="R89" s="77"/>
      <c r="S89" s="77"/>
      <c r="T89" s="77"/>
    </row>
    <row r="90" spans="2:20" s="19" customFormat="1" x14ac:dyDescent="0.3">
      <c r="B90" s="76" t="s">
        <v>198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9" t="s">
        <v>30</v>
      </c>
      <c r="N90" s="79"/>
      <c r="O90" s="79"/>
      <c r="P90" s="77" t="str">
        <f t="shared" si="4"/>
        <v>Murilo Moraes</v>
      </c>
      <c r="Q90" s="77"/>
      <c r="R90" s="77"/>
      <c r="S90" s="77"/>
      <c r="T90" s="77"/>
    </row>
    <row r="91" spans="2:20" s="19" customFormat="1" ht="15" customHeight="1" x14ac:dyDescent="0.3">
      <c r="B91" s="76" t="s">
        <v>161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9" t="s">
        <v>30</v>
      </c>
      <c r="N91" s="79"/>
      <c r="O91" s="79"/>
      <c r="P91" s="77" t="str">
        <f t="shared" si="4"/>
        <v>Murilo Moraes</v>
      </c>
      <c r="Q91" s="77"/>
      <c r="R91" s="77"/>
      <c r="S91" s="77"/>
      <c r="T91" s="77"/>
    </row>
    <row r="92" spans="2:20" s="19" customFormat="1" ht="15" customHeight="1" x14ac:dyDescent="0.3">
      <c r="B92" s="76" t="s">
        <v>162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9" t="s">
        <v>30</v>
      </c>
      <c r="N92" s="79"/>
      <c r="O92" s="79"/>
      <c r="P92" s="77" t="str">
        <f t="shared" si="4"/>
        <v>Murilo Moraes</v>
      </c>
      <c r="Q92" s="77"/>
      <c r="R92" s="77"/>
      <c r="S92" s="77"/>
      <c r="T92" s="77"/>
    </row>
    <row r="93" spans="2:20" s="19" customFormat="1" ht="42.75" customHeight="1" x14ac:dyDescent="0.3">
      <c r="B93" s="76" t="s">
        <v>199</v>
      </c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9" t="s">
        <v>30</v>
      </c>
      <c r="N93" s="79"/>
      <c r="O93" s="79"/>
      <c r="P93" s="77" t="str">
        <f t="shared" si="4"/>
        <v>Murilo Moraes</v>
      </c>
      <c r="Q93" s="77"/>
      <c r="R93" s="77"/>
      <c r="S93" s="77"/>
      <c r="T93" s="77"/>
    </row>
    <row r="94" spans="2:20" s="19" customFormat="1" ht="32.25" customHeight="1" x14ac:dyDescent="0.3">
      <c r="B94" s="74" t="s">
        <v>163</v>
      </c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9" t="s">
        <v>33</v>
      </c>
      <c r="N94" s="79"/>
      <c r="O94" s="79"/>
      <c r="P94" s="77" t="str">
        <f t="shared" si="4"/>
        <v>Murilo Moraes</v>
      </c>
      <c r="Q94" s="77"/>
      <c r="R94" s="77"/>
      <c r="S94" s="77"/>
      <c r="T94" s="77"/>
    </row>
    <row r="95" spans="2:20" s="19" customFormat="1" ht="69" customHeight="1" x14ac:dyDescent="0.3">
      <c r="B95" s="95" t="s">
        <v>164</v>
      </c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79" t="s">
        <v>33</v>
      </c>
      <c r="N95" s="79"/>
      <c r="O95" s="79"/>
      <c r="P95" s="80">
        <f t="shared" ref="P95" si="5">$D$24</f>
        <v>0</v>
      </c>
      <c r="Q95" s="81"/>
      <c r="R95" s="81"/>
      <c r="S95" s="81"/>
      <c r="T95" s="82"/>
    </row>
    <row r="96" spans="2:20" s="19" customFormat="1" ht="15" customHeight="1" x14ac:dyDescent="0.3">
      <c r="B96" s="76" t="s">
        <v>165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9" t="s">
        <v>33</v>
      </c>
      <c r="N96" s="79"/>
      <c r="O96" s="79"/>
      <c r="P96" s="77" t="str">
        <f t="shared" ref="P96" si="6">$D$28</f>
        <v>Murilo Moraes</v>
      </c>
      <c r="Q96" s="77"/>
      <c r="R96" s="77"/>
      <c r="S96" s="77"/>
      <c r="T96" s="77"/>
    </row>
    <row r="97" spans="2:20" s="19" customFormat="1" ht="41.25" customHeight="1" x14ac:dyDescent="0.3">
      <c r="B97" s="76" t="s">
        <v>200</v>
      </c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9" t="s">
        <v>33</v>
      </c>
      <c r="N97" s="79"/>
      <c r="O97" s="79"/>
      <c r="P97" s="77" t="str">
        <f t="shared" ref="P97" si="7">$D$28</f>
        <v>Murilo Moraes</v>
      </c>
      <c r="Q97" s="77"/>
      <c r="R97" s="77"/>
      <c r="S97" s="77"/>
      <c r="T97" s="77"/>
    </row>
    <row r="98" spans="2:20" s="19" customFormat="1" ht="15" customHeight="1" x14ac:dyDescent="0.3">
      <c r="B98" s="76" t="s">
        <v>166</v>
      </c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9" t="s">
        <v>33</v>
      </c>
      <c r="N98" s="79"/>
      <c r="O98" s="79"/>
      <c r="P98" s="80">
        <f t="shared" ref="P98" si="8">$D$24</f>
        <v>0</v>
      </c>
      <c r="Q98" s="81"/>
      <c r="R98" s="81"/>
      <c r="S98" s="81"/>
      <c r="T98" s="82"/>
    </row>
    <row r="99" spans="2:20" s="19" customFormat="1" ht="16.350000000000001" customHeight="1" x14ac:dyDescent="0.3">
      <c r="B99" s="89"/>
      <c r="C99" s="90"/>
      <c r="D99" s="90"/>
      <c r="E99" s="90"/>
      <c r="F99" s="90"/>
      <c r="G99" s="90"/>
      <c r="H99" s="90"/>
      <c r="I99" s="90"/>
      <c r="J99" s="90"/>
      <c r="K99" s="90"/>
      <c r="L99" s="91"/>
      <c r="M99" s="139"/>
      <c r="N99" s="140"/>
      <c r="O99" s="141"/>
      <c r="P99" s="92"/>
      <c r="Q99" s="93"/>
      <c r="R99" s="93"/>
      <c r="S99" s="93"/>
      <c r="T99" s="94"/>
    </row>
    <row r="100" spans="2:20" x14ac:dyDescent="0.3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 ht="18" x14ac:dyDescent="0.35">
      <c r="B101" s="1" t="s">
        <v>167</v>
      </c>
      <c r="C101" s="1"/>
      <c r="D101" s="1"/>
      <c r="E101" s="1"/>
      <c r="F101" s="1"/>
      <c r="G101" s="1"/>
      <c r="H101" s="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 ht="15" customHeight="1" x14ac:dyDescent="0.3">
      <c r="B102" s="26" t="s">
        <v>168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2:20" x14ac:dyDescent="0.3">
      <c r="B103" s="84" t="s">
        <v>47</v>
      </c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97" t="s">
        <v>59</v>
      </c>
      <c r="N103" s="97"/>
      <c r="O103" s="97"/>
      <c r="P103" s="86" t="s">
        <v>49</v>
      </c>
      <c r="Q103" s="87"/>
      <c r="R103" s="87"/>
      <c r="S103" s="87"/>
      <c r="T103" s="88"/>
    </row>
    <row r="104" spans="2:20" s="12" customFormat="1" ht="24.75" customHeight="1" x14ac:dyDescent="0.3">
      <c r="B104" s="74" t="s">
        <v>169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8">
        <v>2.0833333333333332E-2</v>
      </c>
      <c r="N104" s="75"/>
      <c r="O104" s="75"/>
      <c r="P104" s="77" t="str">
        <f t="shared" ref="P104" si="9">$D$28</f>
        <v>Murilo Moraes</v>
      </c>
      <c r="Q104" s="77"/>
      <c r="R104" s="77"/>
      <c r="S104" s="77"/>
      <c r="T104" s="77"/>
    </row>
    <row r="105" spans="2:20" s="12" customFormat="1" ht="26.25" customHeight="1" x14ac:dyDescent="0.3">
      <c r="B105" s="74" t="s">
        <v>170</v>
      </c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98">
        <v>6.9444444444444441E-3</v>
      </c>
      <c r="N105" s="75"/>
      <c r="O105" s="75"/>
      <c r="P105" s="77" t="str">
        <f t="shared" ref="P105" si="10">$D$28</f>
        <v>Murilo Moraes</v>
      </c>
      <c r="Q105" s="77"/>
      <c r="R105" s="77"/>
      <c r="S105" s="77"/>
      <c r="T105" s="77"/>
    </row>
    <row r="106" spans="2:20" s="12" customFormat="1" ht="27.75" customHeight="1" x14ac:dyDescent="0.3">
      <c r="B106" s="74" t="s">
        <v>171</v>
      </c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8">
        <v>4.1666666666666664E-2</v>
      </c>
      <c r="N106" s="75"/>
      <c r="O106" s="75"/>
      <c r="P106" s="77" t="str">
        <f t="shared" ref="P106" si="11">$D$28</f>
        <v>Murilo Moraes</v>
      </c>
      <c r="Q106" s="77"/>
      <c r="R106" s="77"/>
      <c r="S106" s="77"/>
      <c r="T106" s="77"/>
    </row>
    <row r="107" spans="2:20" s="12" customFormat="1" ht="13.8" x14ac:dyDescent="0.3">
      <c r="B107" s="74" t="s">
        <v>172</v>
      </c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>
        <v>4.1666666666666664E-2</v>
      </c>
      <c r="N107" s="77"/>
      <c r="O107" s="77"/>
      <c r="P107" s="92">
        <f t="shared" ref="P107" si="12">$D$24</f>
        <v>0</v>
      </c>
      <c r="Q107" s="93"/>
      <c r="R107" s="93"/>
      <c r="S107" s="93"/>
      <c r="T107" s="94"/>
    </row>
    <row r="108" spans="2:20" s="12" customFormat="1" ht="13.8" x14ac:dyDescent="0.3">
      <c r="B108" s="74" t="s">
        <v>173</v>
      </c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99">
        <v>1.0416666666666666E-2</v>
      </c>
      <c r="N108" s="77"/>
      <c r="O108" s="77"/>
      <c r="P108" s="92">
        <f t="shared" ref="P108" si="13">$D$24</f>
        <v>0</v>
      </c>
      <c r="Q108" s="93"/>
      <c r="R108" s="93"/>
      <c r="S108" s="93"/>
      <c r="T108" s="94"/>
    </row>
    <row r="109" spans="2:20" s="12" customFormat="1" ht="13.8" x14ac:dyDescent="0.3"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99"/>
      <c r="N109" s="77"/>
      <c r="O109" s="77"/>
      <c r="P109" s="92"/>
      <c r="Q109" s="93"/>
      <c r="R109" s="93"/>
      <c r="S109" s="93"/>
      <c r="T109" s="94"/>
    </row>
    <row r="110" spans="2:20" s="12" customFormat="1" ht="15" customHeight="1" x14ac:dyDescent="0.35"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 ht="18" x14ac:dyDescent="0.35">
      <c r="B111" s="1" t="s">
        <v>61</v>
      </c>
      <c r="C111" s="1"/>
      <c r="D111" s="1"/>
      <c r="E111" s="1"/>
      <c r="F111" s="1"/>
      <c r="G111" s="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 ht="15" customHeight="1" x14ac:dyDescent="0.3">
      <c r="B112" s="26" t="s">
        <v>174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2:20" x14ac:dyDescent="0.3">
      <c r="B113" s="84" t="s">
        <v>47</v>
      </c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97" t="s">
        <v>59</v>
      </c>
      <c r="N113" s="97"/>
      <c r="O113" s="97"/>
      <c r="P113" s="86" t="s">
        <v>49</v>
      </c>
      <c r="Q113" s="87"/>
      <c r="R113" s="87"/>
      <c r="S113" s="87"/>
      <c r="T113" s="88"/>
    </row>
    <row r="114" spans="2:20" ht="27" customHeight="1" x14ac:dyDescent="0.3">
      <c r="B114" s="74" t="s">
        <v>175</v>
      </c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98">
        <v>2.0833333333333332E-2</v>
      </c>
      <c r="N114" s="75"/>
      <c r="O114" s="75"/>
      <c r="P114" s="75" t="str">
        <f t="shared" ref="P114:P120" si="14">$D$28</f>
        <v>Murilo Moraes</v>
      </c>
      <c r="Q114" s="75"/>
      <c r="R114" s="75"/>
      <c r="S114" s="75"/>
      <c r="T114" s="75"/>
    </row>
    <row r="115" spans="2:20" ht="52.5" customHeight="1" x14ac:dyDescent="0.3">
      <c r="B115" s="100" t="s">
        <v>176</v>
      </c>
      <c r="C115" s="101"/>
      <c r="D115" s="101"/>
      <c r="E115" s="101"/>
      <c r="F115" s="101"/>
      <c r="G115" s="101"/>
      <c r="H115" s="101"/>
      <c r="I115" s="101"/>
      <c r="J115" s="101"/>
      <c r="K115" s="101"/>
      <c r="L115" s="102"/>
      <c r="M115" s="98">
        <v>2.0833333333333332E-2</v>
      </c>
      <c r="N115" s="75"/>
      <c r="O115" s="75"/>
      <c r="P115" s="75" t="str">
        <f t="shared" si="14"/>
        <v>Murilo Moraes</v>
      </c>
      <c r="Q115" s="75"/>
      <c r="R115" s="75"/>
      <c r="S115" s="75"/>
      <c r="T115" s="75"/>
    </row>
    <row r="116" spans="2:20" ht="15" customHeight="1" x14ac:dyDescent="0.3">
      <c r="B116" s="100" t="s">
        <v>177</v>
      </c>
      <c r="C116" s="101"/>
      <c r="D116" s="101"/>
      <c r="E116" s="101"/>
      <c r="F116" s="101"/>
      <c r="G116" s="101"/>
      <c r="H116" s="101"/>
      <c r="I116" s="101"/>
      <c r="J116" s="101"/>
      <c r="K116" s="101"/>
      <c r="L116" s="102"/>
      <c r="M116" s="98">
        <v>0.41666666666666669</v>
      </c>
      <c r="N116" s="75"/>
      <c r="O116" s="75"/>
      <c r="P116" s="75" t="str">
        <f t="shared" si="14"/>
        <v>Murilo Moraes</v>
      </c>
      <c r="Q116" s="75"/>
      <c r="R116" s="75"/>
      <c r="S116" s="75"/>
      <c r="T116" s="75"/>
    </row>
    <row r="117" spans="2:20" ht="16.350000000000001" customHeight="1" x14ac:dyDescent="0.3">
      <c r="B117" s="100" t="s">
        <v>178</v>
      </c>
      <c r="C117" s="101"/>
      <c r="D117" s="101"/>
      <c r="E117" s="101"/>
      <c r="F117" s="101"/>
      <c r="G117" s="101"/>
      <c r="H117" s="101"/>
      <c r="I117" s="101"/>
      <c r="J117" s="101"/>
      <c r="K117" s="101"/>
      <c r="L117" s="102"/>
      <c r="M117" s="98">
        <v>2.0833333333333332E-2</v>
      </c>
      <c r="N117" s="75"/>
      <c r="O117" s="75"/>
      <c r="P117" s="75" t="str">
        <f t="shared" si="14"/>
        <v>Murilo Moraes</v>
      </c>
      <c r="Q117" s="75"/>
      <c r="R117" s="75"/>
      <c r="S117" s="75"/>
      <c r="T117" s="75"/>
    </row>
    <row r="118" spans="2:20" ht="16.350000000000001" customHeight="1" x14ac:dyDescent="0.3">
      <c r="B118" s="100" t="s">
        <v>179</v>
      </c>
      <c r="C118" s="101"/>
      <c r="D118" s="101"/>
      <c r="E118" s="101"/>
      <c r="F118" s="101"/>
      <c r="G118" s="101"/>
      <c r="H118" s="101"/>
      <c r="I118" s="101"/>
      <c r="J118" s="101"/>
      <c r="K118" s="101"/>
      <c r="L118" s="102"/>
      <c r="M118" s="98">
        <v>2.0833333333333332E-2</v>
      </c>
      <c r="N118" s="75"/>
      <c r="O118" s="75"/>
      <c r="P118" s="75" t="str">
        <f t="shared" si="14"/>
        <v>Murilo Moraes</v>
      </c>
      <c r="Q118" s="75"/>
      <c r="R118" s="75"/>
      <c r="S118" s="75"/>
      <c r="T118" s="75"/>
    </row>
    <row r="119" spans="2:20" ht="16.350000000000001" customHeight="1" x14ac:dyDescent="0.3">
      <c r="B119" s="100" t="s">
        <v>180</v>
      </c>
      <c r="C119" s="101"/>
      <c r="D119" s="101"/>
      <c r="E119" s="101"/>
      <c r="F119" s="101"/>
      <c r="G119" s="101"/>
      <c r="H119" s="101"/>
      <c r="I119" s="101"/>
      <c r="J119" s="101"/>
      <c r="K119" s="101"/>
      <c r="L119" s="102"/>
      <c r="M119" s="98">
        <v>1.0416666666666666E-2</v>
      </c>
      <c r="N119" s="75"/>
      <c r="O119" s="75"/>
      <c r="P119" s="75" t="str">
        <f t="shared" si="14"/>
        <v>Murilo Moraes</v>
      </c>
      <c r="Q119" s="75"/>
      <c r="R119" s="75"/>
      <c r="S119" s="75"/>
      <c r="T119" s="75"/>
    </row>
    <row r="120" spans="2:20" ht="16.350000000000001" customHeight="1" x14ac:dyDescent="0.3">
      <c r="B120" s="100" t="s">
        <v>181</v>
      </c>
      <c r="C120" s="101"/>
      <c r="D120" s="101"/>
      <c r="E120" s="101"/>
      <c r="F120" s="101"/>
      <c r="G120" s="101"/>
      <c r="H120" s="101"/>
      <c r="I120" s="101"/>
      <c r="J120" s="101"/>
      <c r="K120" s="101"/>
      <c r="L120" s="102"/>
      <c r="M120" s="98">
        <v>1.0416666666666666E-2</v>
      </c>
      <c r="N120" s="75"/>
      <c r="O120" s="75"/>
      <c r="P120" s="75" t="str">
        <f t="shared" si="14"/>
        <v>Murilo Moraes</v>
      </c>
      <c r="Q120" s="75"/>
      <c r="R120" s="75"/>
      <c r="S120" s="75"/>
      <c r="T120" s="75"/>
    </row>
    <row r="121" spans="2:20" ht="16.350000000000001" customHeight="1" x14ac:dyDescent="0.3">
      <c r="B121" s="100" t="s">
        <v>182</v>
      </c>
      <c r="C121" s="101"/>
      <c r="D121" s="101"/>
      <c r="E121" s="101"/>
      <c r="F121" s="101"/>
      <c r="G121" s="101"/>
      <c r="H121" s="101"/>
      <c r="I121" s="101"/>
      <c r="J121" s="101"/>
      <c r="K121" s="101"/>
      <c r="L121" s="102"/>
      <c r="M121" s="98">
        <v>8.3333333333333329E-2</v>
      </c>
      <c r="N121" s="75"/>
      <c r="O121" s="75"/>
      <c r="P121" s="80">
        <f t="shared" ref="P121" si="15">$D$24</f>
        <v>0</v>
      </c>
      <c r="Q121" s="81"/>
      <c r="R121" s="81"/>
      <c r="S121" s="81"/>
      <c r="T121" s="82"/>
    </row>
    <row r="122" spans="2:20" ht="16.350000000000001" customHeight="1" x14ac:dyDescent="0.3">
      <c r="B122" s="100" t="s">
        <v>183</v>
      </c>
      <c r="C122" s="101"/>
      <c r="D122" s="101"/>
      <c r="E122" s="101"/>
      <c r="F122" s="101"/>
      <c r="G122" s="101"/>
      <c r="H122" s="101"/>
      <c r="I122" s="101"/>
      <c r="J122" s="101"/>
      <c r="K122" s="101"/>
      <c r="L122" s="102"/>
      <c r="M122" s="98">
        <v>1.0416666666666666E-2</v>
      </c>
      <c r="N122" s="75"/>
      <c r="O122" s="75"/>
      <c r="P122" s="80">
        <f t="shared" ref="P122" si="16">$D$24</f>
        <v>0</v>
      </c>
      <c r="Q122" s="81"/>
      <c r="R122" s="81"/>
      <c r="S122" s="81"/>
      <c r="T122" s="82"/>
    </row>
    <row r="123" spans="2:20" ht="16.350000000000001" customHeight="1" x14ac:dyDescent="0.3">
      <c r="B123" s="100" t="s">
        <v>184</v>
      </c>
      <c r="C123" s="101"/>
      <c r="D123" s="101"/>
      <c r="E123" s="101"/>
      <c r="F123" s="101"/>
      <c r="G123" s="101"/>
      <c r="H123" s="101"/>
      <c r="I123" s="101"/>
      <c r="J123" s="101"/>
      <c r="K123" s="101"/>
      <c r="L123" s="102"/>
      <c r="M123" s="80">
        <f t="shared" ref="M123" si="17">$D$24</f>
        <v>0</v>
      </c>
      <c r="N123" s="81"/>
      <c r="O123" s="81"/>
      <c r="P123" s="81"/>
      <c r="Q123" s="81"/>
      <c r="R123" s="81"/>
      <c r="S123" s="81"/>
      <c r="T123" s="82"/>
    </row>
    <row r="124" spans="2:20" ht="16.350000000000001" customHeight="1" x14ac:dyDescent="0.3">
      <c r="B124" s="100"/>
      <c r="C124" s="101"/>
      <c r="D124" s="101"/>
      <c r="E124" s="101"/>
      <c r="F124" s="101"/>
      <c r="G124" s="101"/>
      <c r="H124" s="101"/>
      <c r="I124" s="101"/>
      <c r="J124" s="101"/>
      <c r="K124" s="101"/>
      <c r="L124" s="102"/>
      <c r="M124" s="98"/>
      <c r="N124" s="75"/>
      <c r="O124" s="75"/>
      <c r="P124" s="80"/>
      <c r="Q124" s="81"/>
      <c r="R124" s="81"/>
      <c r="S124" s="81"/>
      <c r="T124" s="82"/>
    </row>
    <row r="125" spans="2:20" x14ac:dyDescent="0.3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2:20" ht="15" customHeight="1" x14ac:dyDescent="0.35">
      <c r="B126" s="1" t="s">
        <v>64</v>
      </c>
      <c r="C126" s="1"/>
      <c r="D126" s="1"/>
      <c r="E126" s="1"/>
      <c r="F126" s="1"/>
      <c r="G126" s="1"/>
      <c r="H126" s="1"/>
      <c r="I126" s="1"/>
      <c r="J126" s="1"/>
      <c r="K126" s="1"/>
      <c r="L126" s="5"/>
      <c r="M126" s="5"/>
      <c r="N126" s="5"/>
      <c r="O126" s="5"/>
      <c r="P126" s="5"/>
      <c r="Q126" s="5"/>
      <c r="R126" s="5"/>
      <c r="S126" s="5"/>
      <c r="T126" s="5"/>
    </row>
    <row r="127" spans="2:20" x14ac:dyDescent="0.3">
      <c r="B127" s="109" t="s">
        <v>0</v>
      </c>
      <c r="C127" s="110"/>
      <c r="D127" s="110"/>
      <c r="E127" s="110"/>
      <c r="F127" s="110"/>
      <c r="G127" s="110"/>
      <c r="H127" s="111"/>
      <c r="I127" s="109" t="s">
        <v>65</v>
      </c>
      <c r="J127" s="110"/>
      <c r="K127" s="110"/>
      <c r="L127" s="111"/>
      <c r="M127" s="86" t="s">
        <v>66</v>
      </c>
      <c r="N127" s="87"/>
      <c r="O127" s="87"/>
      <c r="P127" s="88"/>
      <c r="Q127" s="86" t="s">
        <v>1</v>
      </c>
      <c r="R127" s="87"/>
      <c r="S127" s="87"/>
      <c r="T127" s="88"/>
    </row>
    <row r="128" spans="2:20" x14ac:dyDescent="0.3">
      <c r="B128" s="103" t="s">
        <v>188</v>
      </c>
      <c r="C128" s="104"/>
      <c r="D128" s="104"/>
      <c r="E128" s="104"/>
      <c r="F128" s="104"/>
      <c r="G128" s="104"/>
      <c r="H128" s="105"/>
      <c r="I128" s="103" t="s">
        <v>189</v>
      </c>
      <c r="J128" s="104"/>
      <c r="K128" s="104"/>
      <c r="L128" s="105"/>
      <c r="M128" s="106" t="s">
        <v>53</v>
      </c>
      <c r="N128" s="107"/>
      <c r="O128" s="107"/>
      <c r="P128" s="108"/>
      <c r="Q128" s="106" t="s">
        <v>190</v>
      </c>
      <c r="R128" s="107"/>
      <c r="S128" s="107"/>
      <c r="T128" s="108"/>
    </row>
    <row r="129" spans="2:20" x14ac:dyDescent="0.3">
      <c r="B129" s="103" t="s">
        <v>69</v>
      </c>
      <c r="C129" s="104"/>
      <c r="D129" s="104"/>
      <c r="E129" s="104"/>
      <c r="F129" s="104"/>
      <c r="G129" s="104"/>
      <c r="H129" s="105"/>
      <c r="I129" s="103" t="s">
        <v>191</v>
      </c>
      <c r="J129" s="104"/>
      <c r="K129" s="104"/>
      <c r="L129" s="105"/>
      <c r="M129" s="106" t="s">
        <v>53</v>
      </c>
      <c r="N129" s="107"/>
      <c r="O129" s="107"/>
      <c r="P129" s="108"/>
      <c r="Q129" s="106" t="s">
        <v>5</v>
      </c>
      <c r="R129" s="107"/>
      <c r="S129" s="107"/>
      <c r="T129" s="108"/>
    </row>
    <row r="130" spans="2:20" x14ac:dyDescent="0.3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2:20" x14ac:dyDescent="0.3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2:20" ht="2.1" customHeight="1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ht="18" x14ac:dyDescent="0.35">
      <c r="B133" s="4" t="s">
        <v>74</v>
      </c>
    </row>
    <row r="134" spans="2:20" x14ac:dyDescent="0.3">
      <c r="B134" s="109" t="s">
        <v>0</v>
      </c>
      <c r="C134" s="110"/>
      <c r="D134" s="110"/>
      <c r="E134" s="110"/>
      <c r="F134" s="110"/>
      <c r="G134" s="111"/>
      <c r="H134" s="109" t="s">
        <v>65</v>
      </c>
      <c r="I134" s="110"/>
      <c r="J134" s="110"/>
      <c r="K134" s="110"/>
      <c r="L134" s="111"/>
      <c r="M134" s="97" t="s">
        <v>66</v>
      </c>
      <c r="N134" s="97"/>
      <c r="O134" s="97"/>
      <c r="P134" s="97"/>
      <c r="Q134" s="86" t="s">
        <v>75</v>
      </c>
      <c r="R134" s="87"/>
      <c r="S134" s="87"/>
      <c r="T134" s="88"/>
    </row>
    <row r="135" spans="2:20" x14ac:dyDescent="0.3">
      <c r="B135" s="112" t="s">
        <v>67</v>
      </c>
      <c r="C135" s="113"/>
      <c r="D135" s="113"/>
      <c r="E135" s="113"/>
      <c r="F135" s="113"/>
      <c r="G135" s="114"/>
      <c r="H135" s="115" t="s">
        <v>189</v>
      </c>
      <c r="I135" s="116"/>
      <c r="J135" s="116"/>
      <c r="K135" s="116"/>
      <c r="L135" s="117"/>
      <c r="M135" s="118" t="s">
        <v>53</v>
      </c>
      <c r="N135" s="119"/>
      <c r="O135" s="119"/>
      <c r="P135" s="120"/>
      <c r="Q135" s="118"/>
      <c r="R135" s="119"/>
      <c r="S135" s="119"/>
      <c r="T135" s="120"/>
    </row>
    <row r="136" spans="2:20" x14ac:dyDescent="0.3">
      <c r="B136" s="165" t="s">
        <v>69</v>
      </c>
      <c r="C136" s="166"/>
      <c r="D136" s="166"/>
      <c r="E136" s="166"/>
      <c r="F136" s="166"/>
      <c r="G136" s="166"/>
      <c r="H136" s="167" t="s">
        <v>191</v>
      </c>
      <c r="I136" s="168"/>
      <c r="J136" s="168"/>
      <c r="K136" s="168"/>
      <c r="L136" s="168"/>
      <c r="M136" s="118" t="s">
        <v>53</v>
      </c>
      <c r="N136" s="119"/>
      <c r="O136" s="119"/>
      <c r="P136" s="120"/>
      <c r="Q136" s="118"/>
      <c r="R136" s="119"/>
      <c r="S136" s="119"/>
      <c r="T136" s="120"/>
    </row>
  </sheetData>
  <sheetProtection selectLockedCells="1"/>
  <mergeCells count="298">
    <mergeCell ref="J6:T6"/>
    <mergeCell ref="B7:I7"/>
    <mergeCell ref="J7:T7"/>
    <mergeCell ref="B15:J15"/>
    <mergeCell ref="K15:T15"/>
    <mergeCell ref="B16:J16"/>
    <mergeCell ref="K16:T16"/>
    <mergeCell ref="G10:T10"/>
    <mergeCell ref="B11:F11"/>
    <mergeCell ref="G11:T11"/>
    <mergeCell ref="B12:F12"/>
    <mergeCell ref="G12:T12"/>
    <mergeCell ref="B36:F36"/>
    <mergeCell ref="G36:J36"/>
    <mergeCell ref="L36:P36"/>
    <mergeCell ref="Q36:T36"/>
    <mergeCell ref="D33:J33"/>
    <mergeCell ref="L33:M33"/>
    <mergeCell ref="N33:T33"/>
    <mergeCell ref="D28:J28"/>
    <mergeCell ref="L28:M28"/>
    <mergeCell ref="N28:T28"/>
    <mergeCell ref="D29:J29"/>
    <mergeCell ref="L29:M29"/>
    <mergeCell ref="N29:T29"/>
    <mergeCell ref="B27:J27"/>
    <mergeCell ref="K27:K29"/>
    <mergeCell ref="B31:J31"/>
    <mergeCell ref="B51:H51"/>
    <mergeCell ref="I51:K51"/>
    <mergeCell ref="L51:M51"/>
    <mergeCell ref="N51:T51"/>
    <mergeCell ref="B52:H52"/>
    <mergeCell ref="I52:K52"/>
    <mergeCell ref="L52:M52"/>
    <mergeCell ref="N52:T52"/>
    <mergeCell ref="B48:E48"/>
    <mergeCell ref="D32:J32"/>
    <mergeCell ref="L32:M32"/>
    <mergeCell ref="N32:T32"/>
    <mergeCell ref="B39:J39"/>
    <mergeCell ref="L39:T39"/>
    <mergeCell ref="B46:K46"/>
    <mergeCell ref="L46:T46"/>
    <mergeCell ref="B47:K47"/>
    <mergeCell ref="L47:T47"/>
    <mergeCell ref="B37:F37"/>
    <mergeCell ref="G37:J37"/>
    <mergeCell ref="L37:P37"/>
    <mergeCell ref="I57:K57"/>
    <mergeCell ref="L57:M57"/>
    <mergeCell ref="N57:T57"/>
    <mergeCell ref="B53:H53"/>
    <mergeCell ref="I53:K53"/>
    <mergeCell ref="L53:M53"/>
    <mergeCell ref="N53:T53"/>
    <mergeCell ref="B54:H54"/>
    <mergeCell ref="I54:K54"/>
    <mergeCell ref="L54:M54"/>
    <mergeCell ref="N54:T54"/>
    <mergeCell ref="B66:L66"/>
    <mergeCell ref="M66:O66"/>
    <mergeCell ref="P66:T66"/>
    <mergeCell ref="B61:H61"/>
    <mergeCell ref="I61:K61"/>
    <mergeCell ref="L61:M61"/>
    <mergeCell ref="N61:T61"/>
    <mergeCell ref="B55:H55"/>
    <mergeCell ref="I55:K55"/>
    <mergeCell ref="L55:M55"/>
    <mergeCell ref="N55:T55"/>
    <mergeCell ref="B56:H56"/>
    <mergeCell ref="I56:K56"/>
    <mergeCell ref="L56:M56"/>
    <mergeCell ref="B59:H59"/>
    <mergeCell ref="I59:K59"/>
    <mergeCell ref="L59:M59"/>
    <mergeCell ref="N59:T59"/>
    <mergeCell ref="B60:H60"/>
    <mergeCell ref="I60:K60"/>
    <mergeCell ref="L60:M60"/>
    <mergeCell ref="N60:T60"/>
    <mergeCell ref="N56:T56"/>
    <mergeCell ref="B57:H57"/>
    <mergeCell ref="B67:L67"/>
    <mergeCell ref="M67:O67"/>
    <mergeCell ref="P67:T67"/>
    <mergeCell ref="B68:L68"/>
    <mergeCell ref="M68:O68"/>
    <mergeCell ref="P68:T68"/>
    <mergeCell ref="B74:L74"/>
    <mergeCell ref="M74:O74"/>
    <mergeCell ref="P74:T74"/>
    <mergeCell ref="P80:T80"/>
    <mergeCell ref="B81:L81"/>
    <mergeCell ref="M81:O81"/>
    <mergeCell ref="P81:T81"/>
    <mergeCell ref="B78:L78"/>
    <mergeCell ref="M78:O78"/>
    <mergeCell ref="B75:L75"/>
    <mergeCell ref="M75:O75"/>
    <mergeCell ref="P75:T75"/>
    <mergeCell ref="B76:L76"/>
    <mergeCell ref="M76:O76"/>
    <mergeCell ref="P76:T76"/>
    <mergeCell ref="B77:L77"/>
    <mergeCell ref="M77:O77"/>
    <mergeCell ref="P77:T77"/>
    <mergeCell ref="P78:T78"/>
    <mergeCell ref="B79:L79"/>
    <mergeCell ref="M79:O79"/>
    <mergeCell ref="P79:T79"/>
    <mergeCell ref="B88:L88"/>
    <mergeCell ref="M88:O88"/>
    <mergeCell ref="P88:T88"/>
    <mergeCell ref="B89:L89"/>
    <mergeCell ref="M89:O89"/>
    <mergeCell ref="P89:T89"/>
    <mergeCell ref="B86:L86"/>
    <mergeCell ref="M86:O86"/>
    <mergeCell ref="P86:T86"/>
    <mergeCell ref="B87:L87"/>
    <mergeCell ref="M87:O87"/>
    <mergeCell ref="P87:T87"/>
    <mergeCell ref="B90:L90"/>
    <mergeCell ref="M90:O90"/>
    <mergeCell ref="P90:T90"/>
    <mergeCell ref="B91:L91"/>
    <mergeCell ref="M91:O91"/>
    <mergeCell ref="P91:T91"/>
    <mergeCell ref="B97:L97"/>
    <mergeCell ref="M97:O97"/>
    <mergeCell ref="P97:T97"/>
    <mergeCell ref="B96:L96"/>
    <mergeCell ref="M96:O96"/>
    <mergeCell ref="P96:T96"/>
    <mergeCell ref="B94:L94"/>
    <mergeCell ref="M94:O94"/>
    <mergeCell ref="P94:T94"/>
    <mergeCell ref="B92:L92"/>
    <mergeCell ref="M92:O92"/>
    <mergeCell ref="P92:T92"/>
    <mergeCell ref="B93:L93"/>
    <mergeCell ref="M93:O93"/>
    <mergeCell ref="P93:T93"/>
    <mergeCell ref="B1:T3"/>
    <mergeCell ref="K4:T4"/>
    <mergeCell ref="J8:T9"/>
    <mergeCell ref="K13:T14"/>
    <mergeCell ref="K21:T23"/>
    <mergeCell ref="K24:K26"/>
    <mergeCell ref="D24:J24"/>
    <mergeCell ref="L24:M24"/>
    <mergeCell ref="N24:T24"/>
    <mergeCell ref="D25:J25"/>
    <mergeCell ref="L25:M25"/>
    <mergeCell ref="N25:T25"/>
    <mergeCell ref="B18:J18"/>
    <mergeCell ref="K18:T18"/>
    <mergeCell ref="B19:J19"/>
    <mergeCell ref="K19:T19"/>
    <mergeCell ref="B20:J20"/>
    <mergeCell ref="K20:T20"/>
    <mergeCell ref="B17:J17"/>
    <mergeCell ref="K17:T17"/>
    <mergeCell ref="B10:F10"/>
    <mergeCell ref="B5:I5"/>
    <mergeCell ref="J5:T5"/>
    <mergeCell ref="B6:I6"/>
    <mergeCell ref="Q37:T37"/>
    <mergeCell ref="B38:H38"/>
    <mergeCell ref="I38:J38"/>
    <mergeCell ref="L38:P38"/>
    <mergeCell ref="Q38:T38"/>
    <mergeCell ref="B45:K45"/>
    <mergeCell ref="L45:T45"/>
    <mergeCell ref="B42:K42"/>
    <mergeCell ref="L42:T42"/>
    <mergeCell ref="B43:K43"/>
    <mergeCell ref="L43:T43"/>
    <mergeCell ref="B44:K44"/>
    <mergeCell ref="L44:T44"/>
    <mergeCell ref="B41:K41"/>
    <mergeCell ref="L41:T41"/>
    <mergeCell ref="B58:H58"/>
    <mergeCell ref="I58:K58"/>
    <mergeCell ref="L58:M58"/>
    <mergeCell ref="N58:T58"/>
    <mergeCell ref="B84:L84"/>
    <mergeCell ref="M84:O84"/>
    <mergeCell ref="P84:T84"/>
    <mergeCell ref="B85:L85"/>
    <mergeCell ref="M85:O85"/>
    <mergeCell ref="P85:T85"/>
    <mergeCell ref="B69:L69"/>
    <mergeCell ref="M69:O69"/>
    <mergeCell ref="P69:T69"/>
    <mergeCell ref="B70:L70"/>
    <mergeCell ref="M70:O70"/>
    <mergeCell ref="P70:T70"/>
    <mergeCell ref="B80:L80"/>
    <mergeCell ref="M80:O80"/>
    <mergeCell ref="B82:L82"/>
    <mergeCell ref="M82:O82"/>
    <mergeCell ref="P82:T82"/>
    <mergeCell ref="B83:L83"/>
    <mergeCell ref="M83:O83"/>
    <mergeCell ref="P83:T83"/>
    <mergeCell ref="B108:L108"/>
    <mergeCell ref="M108:O108"/>
    <mergeCell ref="P108:T108"/>
    <mergeCell ref="B95:L95"/>
    <mergeCell ref="M95:O95"/>
    <mergeCell ref="P95:T95"/>
    <mergeCell ref="B104:L104"/>
    <mergeCell ref="M104:O104"/>
    <mergeCell ref="P104:T104"/>
    <mergeCell ref="B99:L99"/>
    <mergeCell ref="M99:O99"/>
    <mergeCell ref="P99:T99"/>
    <mergeCell ref="B98:L98"/>
    <mergeCell ref="M98:O98"/>
    <mergeCell ref="P98:T98"/>
    <mergeCell ref="B105:L105"/>
    <mergeCell ref="M105:O105"/>
    <mergeCell ref="P105:T105"/>
    <mergeCell ref="B106:L106"/>
    <mergeCell ref="M106:O106"/>
    <mergeCell ref="P106:T106"/>
    <mergeCell ref="B103:L103"/>
    <mergeCell ref="M103:O103"/>
    <mergeCell ref="P103:T103"/>
    <mergeCell ref="B117:L117"/>
    <mergeCell ref="M117:O117"/>
    <mergeCell ref="P117:T117"/>
    <mergeCell ref="B109:L109"/>
    <mergeCell ref="M109:O109"/>
    <mergeCell ref="P109:T109"/>
    <mergeCell ref="B113:L113"/>
    <mergeCell ref="M113:O113"/>
    <mergeCell ref="P113:T113"/>
    <mergeCell ref="B114:L114"/>
    <mergeCell ref="M114:O114"/>
    <mergeCell ref="P114:T114"/>
    <mergeCell ref="B115:L115"/>
    <mergeCell ref="M115:O115"/>
    <mergeCell ref="P115:T115"/>
    <mergeCell ref="B116:L116"/>
    <mergeCell ref="M116:O116"/>
    <mergeCell ref="P116:T116"/>
    <mergeCell ref="B107:L107"/>
    <mergeCell ref="M107:O107"/>
    <mergeCell ref="P107:T107"/>
    <mergeCell ref="B120:L120"/>
    <mergeCell ref="M120:O120"/>
    <mergeCell ref="P120:T120"/>
    <mergeCell ref="B121:L121"/>
    <mergeCell ref="M121:O121"/>
    <mergeCell ref="P121:T121"/>
    <mergeCell ref="B118:L118"/>
    <mergeCell ref="M118:O118"/>
    <mergeCell ref="P118:T118"/>
    <mergeCell ref="B119:L119"/>
    <mergeCell ref="M119:O119"/>
    <mergeCell ref="P119:T119"/>
    <mergeCell ref="B127:H127"/>
    <mergeCell ref="I127:L127"/>
    <mergeCell ref="M127:P127"/>
    <mergeCell ref="Q127:T127"/>
    <mergeCell ref="B128:H128"/>
    <mergeCell ref="I128:L128"/>
    <mergeCell ref="M128:P128"/>
    <mergeCell ref="Q128:T128"/>
    <mergeCell ref="B122:L122"/>
    <mergeCell ref="M122:O122"/>
    <mergeCell ref="P122:T122"/>
    <mergeCell ref="B123:L123"/>
    <mergeCell ref="M123:T123"/>
    <mergeCell ref="B124:L124"/>
    <mergeCell ref="M124:O124"/>
    <mergeCell ref="P124:T124"/>
    <mergeCell ref="B135:G135"/>
    <mergeCell ref="H135:L135"/>
    <mergeCell ref="M135:P135"/>
    <mergeCell ref="Q135:T135"/>
    <mergeCell ref="B136:G136"/>
    <mergeCell ref="H136:L136"/>
    <mergeCell ref="M136:P136"/>
    <mergeCell ref="Q136:T136"/>
    <mergeCell ref="B129:H129"/>
    <mergeCell ref="I129:L129"/>
    <mergeCell ref="M129:P129"/>
    <mergeCell ref="Q129:T129"/>
    <mergeCell ref="B132:T132"/>
    <mergeCell ref="B134:G134"/>
    <mergeCell ref="H134:L134"/>
    <mergeCell ref="M134:P134"/>
    <mergeCell ref="Q134:T134"/>
  </mergeCells>
  <conditionalFormatting sqref="B41:B47">
    <cfRule type="notContainsBlanks" dxfId="279" priority="31">
      <formula>LEN(TRIM(B41))&gt;0</formula>
    </cfRule>
  </conditionalFormatting>
  <conditionalFormatting sqref="B39:J39">
    <cfRule type="expression" dxfId="278" priority="5">
      <formula>$I$38="NÃO"</formula>
    </cfRule>
    <cfRule type="expression" dxfId="277" priority="6">
      <formula>$I$38="SIM"</formula>
    </cfRule>
  </conditionalFormatting>
  <conditionalFormatting sqref="D24:J25">
    <cfRule type="containsBlanks" dxfId="276" priority="13">
      <formula>LEN(TRIM(D24))=0</formula>
    </cfRule>
  </conditionalFormatting>
  <conditionalFormatting sqref="D28:J29">
    <cfRule type="containsBlanks" dxfId="275" priority="2">
      <formula>LEN(TRIM(D28))=0</formula>
    </cfRule>
  </conditionalFormatting>
  <conditionalFormatting sqref="D32:J33">
    <cfRule type="containsBlanks" dxfId="274" priority="12">
      <formula>LEN(TRIM(D32))=0</formula>
    </cfRule>
  </conditionalFormatting>
  <conditionalFormatting sqref="G36:J37">
    <cfRule type="containsBlanks" dxfId="273" priority="11">
      <formula>LEN(TRIM(G36))=0</formula>
    </cfRule>
  </conditionalFormatting>
  <conditionalFormatting sqref="G10:T10">
    <cfRule type="containsBlanks" dxfId="272" priority="16">
      <formula>LEN(TRIM(G10))=0</formula>
    </cfRule>
  </conditionalFormatting>
  <conditionalFormatting sqref="G11:T12">
    <cfRule type="containsBlanks" dxfId="271" priority="26">
      <formula>LEN(TRIM(G11))=0</formula>
    </cfRule>
  </conditionalFormatting>
  <conditionalFormatting sqref="I38">
    <cfRule type="containsBlanks" dxfId="270" priority="10">
      <formula>LEN(TRIM(I38))=0</formula>
    </cfRule>
  </conditionalFormatting>
  <conditionalFormatting sqref="J5:T5">
    <cfRule type="containsText" dxfId="269" priority="30" operator="containsText" text="Nome do Cliente">
      <formula>NOT(ISERROR(SEARCH("Nome do Cliente",J5)))</formula>
    </cfRule>
  </conditionalFormatting>
  <conditionalFormatting sqref="J5:T7">
    <cfRule type="containsBlanks" dxfId="268" priority="28">
      <formula>LEN(TRIM(J5))=0</formula>
    </cfRule>
  </conditionalFormatting>
  <conditionalFormatting sqref="J6:T6">
    <cfRule type="containsText" dxfId="267" priority="29" operator="containsText" text="01/01/2023">
      <formula>NOT(ISERROR(SEARCH("01/01/2023",J6)))</formula>
    </cfRule>
  </conditionalFormatting>
  <conditionalFormatting sqref="J7:T7">
    <cfRule type="containsText" dxfId="266" priority="27" operator="containsText" text="Nome do solicitante">
      <formula>NOT(ISERROR(SEARCH("Nome do solicitante",J7)))</formula>
    </cfRule>
  </conditionalFormatting>
  <conditionalFormatting sqref="L39:T39">
    <cfRule type="expression" dxfId="265" priority="7">
      <formula>$Q$38="NÃO"</formula>
    </cfRule>
    <cfRule type="expression" dxfId="264" priority="8">
      <formula>$Q$38="SIM"</formula>
    </cfRule>
  </conditionalFormatting>
  <conditionalFormatting sqref="L41:T41">
    <cfRule type="expression" dxfId="263" priority="24">
      <formula>AND($B$41&lt;&gt;"",$L$41="")</formula>
    </cfRule>
    <cfRule type="expression" dxfId="262" priority="25">
      <formula>$B$41&lt;&gt;""</formula>
    </cfRule>
  </conditionalFormatting>
  <conditionalFormatting sqref="L42:T42">
    <cfRule type="expression" dxfId="261" priority="23">
      <formula>AND($B$42&lt;&gt;"",$L$42="")</formula>
    </cfRule>
  </conditionalFormatting>
  <conditionalFormatting sqref="L42:T47">
    <cfRule type="notContainsBlanks" dxfId="260" priority="17">
      <formula>LEN(TRIM(L42))&gt;0</formula>
    </cfRule>
  </conditionalFormatting>
  <conditionalFormatting sqref="L43:T43">
    <cfRule type="expression" dxfId="259" priority="22">
      <formula>AND($B$43&lt;&gt;"",$L$43="")</formula>
    </cfRule>
  </conditionalFormatting>
  <conditionalFormatting sqref="L44:T44">
    <cfRule type="expression" dxfId="258" priority="21">
      <formula>AND($B$44&lt;&gt;"",$L$44="")</formula>
    </cfRule>
  </conditionalFormatting>
  <conditionalFormatting sqref="L45:T45">
    <cfRule type="expression" dxfId="257" priority="20">
      <formula>AND($B$45&lt;&gt;"",$L$45="")</formula>
    </cfRule>
  </conditionalFormatting>
  <conditionalFormatting sqref="L46:T46">
    <cfRule type="expression" dxfId="256" priority="19">
      <formula>AND($B$46&lt;&gt;"",$L$46="")</formula>
    </cfRule>
  </conditionalFormatting>
  <conditionalFormatting sqref="L47:T47">
    <cfRule type="expression" dxfId="255" priority="18">
      <formula>AND($B$47&lt;&gt;"",$L$47="")</formula>
    </cfRule>
  </conditionalFormatting>
  <conditionalFormatting sqref="N24:T25">
    <cfRule type="containsBlanks" dxfId="254" priority="15">
      <formula>LEN(TRIM(N24))=0</formula>
    </cfRule>
  </conditionalFormatting>
  <conditionalFormatting sqref="N28:T29">
    <cfRule type="containsBlanks" dxfId="253" priority="1">
      <formula>LEN(TRIM(N28))=0</formula>
    </cfRule>
  </conditionalFormatting>
  <conditionalFormatting sqref="N32:T33">
    <cfRule type="containsBlanks" dxfId="252" priority="14">
      <formula>LEN(TRIM(N32))=0</formula>
    </cfRule>
  </conditionalFormatting>
  <conditionalFormatting sqref="Q36:T38">
    <cfRule type="containsBlanks" dxfId="251" priority="9">
      <formula>LEN(TRIM(Q36))=0</formula>
    </cfRule>
  </conditionalFormatting>
  <conditionalFormatting sqref="Q135:T136">
    <cfRule type="containsBlanks" dxfId="250" priority="4">
      <formula>LEN(TRIM(Q135))=0</formula>
    </cfRule>
  </conditionalFormatting>
  <dataValidations count="8">
    <dataValidation type="list" allowBlank="1" showInputMessage="1" showErrorMessage="1" sqref="M67:O71" xr:uid="{E3CE54F4-E2B0-4D0C-9C19-B6A67CA0E003}">
      <formula1>"NECESSÁRIO,OBRIGATÓRIO"</formula1>
    </dataValidation>
    <dataValidation type="list" allowBlank="1" showInputMessage="1" showErrorMessage="1" sqref="Q36:T38 G37:H37 J37 I37:I38 M75:O99" xr:uid="{9660093D-AE98-4376-9CB6-BD5B1499C3F0}">
      <formula1>"SIM,NÃO"</formula1>
    </dataValidation>
    <dataValidation type="list" allowBlank="1" showInputMessage="1" showErrorMessage="1" sqref="G11" xr:uid="{70FE0489-0BEE-4DF4-B63E-B97A883E182C}">
      <formula1>"PROGRAMADA,EMERGENCIAL"</formula1>
    </dataValidation>
    <dataValidation type="list" allowBlank="1" showInputMessage="1" showErrorMessage="1" sqref="I52:K61" xr:uid="{2EF5A5F0-FD53-4B5D-A3B8-E99C7E0C44F4}">
      <formula1>"ALTA,MÉDIA,BAIXA"</formula1>
    </dataValidation>
    <dataValidation type="list" allowBlank="1" showInputMessage="1" showErrorMessage="1" sqref="L52:M61" xr:uid="{19AEE19F-58EA-4D45-98C6-590FE3907D91}">
      <formula1>"ALTO,MÉDIO,BAIXO"</formula1>
    </dataValidation>
    <dataValidation type="list" allowBlank="1" showInputMessage="1" showErrorMessage="1" sqref="Q135:T136" xr:uid="{0038FF13-7EEF-4BFB-9B77-59DCCB1EC828}">
      <formula1>"APROVADO,REPROVADO"</formula1>
    </dataValidation>
    <dataValidation type="list" allowBlank="1" showInputMessage="1" showErrorMessage="1" sqref="G36:J36" xr:uid="{549CEDE8-361F-4299-B907-75C3690E06B6}">
      <formula1>"PRODUÇÃO,HOMOLOGAÇÃO,TESTES,TREINAMENTO,DESENVOLVIMENTO"</formula1>
    </dataValidation>
    <dataValidation type="list" allowBlank="1" showInputMessage="1" showErrorMessage="1" sqref="B135:G135" xr:uid="{2C896BFB-B2E3-43AE-B281-EC07845B74B3}">
      <formula1>"Wilson Kempim Jr."</formula1>
    </dataValidation>
  </dataValidations>
  <pageMargins left="0.25" right="0.25" top="0.75" bottom="0.75" header="0.3" footer="0.3"/>
  <pageSetup paperSize="5" orientation="portrait" r:id="rId1"/>
  <headerFooter differentFirst="1">
    <oddHeader>&amp;L&amp;G</oddHeader>
    <oddFooter>&amp;RPágina &amp;P de &amp;N</oddFooter>
    <firstHeader>&amp;L&amp;G</firstHeader>
    <firstFooter>&amp;RPágina &amp;P de &amp;N</first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0C510D-6660-4D72-A29B-F559A7A7259B}">
          <x14:formula1>
            <xm:f>#REF!</xm:f>
          </x14:formula1>
          <xm:sqref>D28:J28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9AC2-5AF5-48C1-841D-0865C9CBDF69}">
  <dimension ref="B4:T157"/>
  <sheetViews>
    <sheetView topLeftCell="A104" workbookViewId="0">
      <selection activeCell="P63" sqref="P63:T63"/>
    </sheetView>
  </sheetViews>
  <sheetFormatPr defaultColWidth="8.88671875" defaultRowHeight="14.4" x14ac:dyDescent="0.3"/>
  <cols>
    <col min="1" max="1" width="1.6640625" customWidth="1"/>
    <col min="2" max="11" width="5.109375" customWidth="1"/>
    <col min="12" max="12" width="6.6640625" customWidth="1"/>
    <col min="13" max="20" width="5.109375" customWidth="1"/>
    <col min="21" max="22" width="1.6640625" customWidth="1"/>
    <col min="27" max="27" width="12.109375" bestFit="1" customWidth="1"/>
    <col min="28" max="28" width="107.6640625" bestFit="1" customWidth="1"/>
  </cols>
  <sheetData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6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4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x14ac:dyDescent="0.3">
      <c r="B33" s="48" t="s">
        <v>29</v>
      </c>
      <c r="C33" s="49"/>
      <c r="D33" s="49"/>
      <c r="E33" s="49"/>
      <c r="F33" s="49"/>
      <c r="G33" s="43" t="s">
        <v>30</v>
      </c>
      <c r="H33" s="43"/>
      <c r="I33" s="43"/>
      <c r="J33" s="43"/>
      <c r="L33" s="52" t="str" cm="1">
        <f t="array" ref="L33">_xlfn.IFS(
AND(G32&lt;&gt;"PRODUÇÃO",G33="NÃO"),"ALERTA: Risco de perda de dados sem o backup!",
AND(G32="PRODUÇÃO",G33="NÃO"),"ABORTAR GMUD!!!",
G33="SIM","Print de evidência do backup na página de anexos.",
G33="",""
)</f>
        <v>Print de evidência do backup na página de anexos.</v>
      </c>
      <c r="M33" s="52"/>
      <c r="N33" s="52"/>
      <c r="O33" s="52"/>
      <c r="P33" s="52"/>
      <c r="Q33" s="52"/>
      <c r="R33" s="52"/>
      <c r="S33" s="52"/>
      <c r="T33" s="52"/>
    </row>
    <row r="34" spans="2:20" x14ac:dyDescent="0.3">
      <c r="B34" s="22" t="s">
        <v>31</v>
      </c>
      <c r="C34" s="23"/>
      <c r="D34" s="23"/>
      <c r="E34" s="23"/>
      <c r="F34" s="23"/>
      <c r="G34" s="22"/>
      <c r="H34" s="23"/>
      <c r="I34" s="23"/>
      <c r="J34" s="23"/>
    </row>
    <row r="35" spans="2:20" x14ac:dyDescent="0.3">
      <c r="B35" s="59" t="s">
        <v>32</v>
      </c>
      <c r="C35" s="60"/>
      <c r="D35" s="60"/>
      <c r="E35" s="60"/>
      <c r="F35" s="60"/>
      <c r="G35" s="60"/>
      <c r="H35" s="60"/>
      <c r="I35" s="43" t="s">
        <v>30</v>
      </c>
      <c r="J35" s="43"/>
      <c r="L35" s="52" t="str" cm="1">
        <f t="array" ref="L35">_xlfn.IFS(
I35="NÃO","ALERTA: necessário ter acesso à console Appmgr!",
I35="SIM","",
I35="",""
)</f>
        <v/>
      </c>
      <c r="M35" s="52"/>
      <c r="N35" s="52"/>
      <c r="O35" s="52"/>
      <c r="P35" s="52"/>
      <c r="Q35" s="52"/>
      <c r="R35" s="52"/>
      <c r="S35" s="52"/>
      <c r="T35" s="52"/>
    </row>
    <row r="36" spans="2:20" x14ac:dyDescent="0.3">
      <c r="B36" s="61" t="s">
        <v>34</v>
      </c>
      <c r="C36" s="62"/>
      <c r="D36" s="62"/>
      <c r="E36" s="62"/>
      <c r="F36" s="62"/>
      <c r="G36" s="62"/>
      <c r="H36" s="62"/>
      <c r="I36" s="43" t="s">
        <v>33</v>
      </c>
      <c r="J36" s="43"/>
      <c r="L36" s="52" t="str" cm="1">
        <f t="array" ref="L36">_xlfn.IFS(
I36="NÃO","",
I36="SIM","ALERTA: Evidenciar configurações dos hosts",
I36="",""
)</f>
        <v/>
      </c>
      <c r="M36" s="52"/>
      <c r="N36" s="52"/>
      <c r="O36" s="52"/>
      <c r="P36" s="52"/>
      <c r="Q36" s="52"/>
      <c r="R36" s="52"/>
      <c r="S36" s="52"/>
      <c r="T36" s="52"/>
    </row>
    <row r="37" spans="2:20" ht="15" customHeight="1" x14ac:dyDescent="0.3"/>
    <row r="39" spans="2:20" ht="18" x14ac:dyDescent="0.35">
      <c r="B39" s="1" t="s">
        <v>35</v>
      </c>
      <c r="C39" s="13"/>
      <c r="D39" s="13"/>
      <c r="E39" s="13"/>
      <c r="F39" s="13"/>
      <c r="L39" s="14"/>
      <c r="M39" s="14"/>
      <c r="N39" s="14"/>
      <c r="O39" s="14"/>
      <c r="P39" s="14"/>
      <c r="Q39" s="14"/>
      <c r="R39" s="14"/>
      <c r="S39" s="14"/>
      <c r="T39" s="14"/>
    </row>
    <row r="40" spans="2:20" x14ac:dyDescent="0.3">
      <c r="B40" s="54" t="str">
        <f>IF(
OR(L33="Print de evidência do backup na página de anexos.",L33="ALERTA: Risco de perda de dados sem o backup!"),"Data de ínicio:",""
)</f>
        <v>Data de ínicio:</v>
      </c>
      <c r="C40" s="54"/>
      <c r="D40" s="54"/>
      <c r="E40" s="54"/>
      <c r="F40" s="54"/>
      <c r="G40" s="54"/>
      <c r="H40" s="54"/>
      <c r="I40" s="54"/>
      <c r="J40" s="54"/>
      <c r="K40" s="54"/>
      <c r="L40" s="55" t="s">
        <v>36</v>
      </c>
      <c r="M40" s="55"/>
      <c r="N40" s="55"/>
      <c r="O40" s="55"/>
      <c r="P40" s="55"/>
      <c r="Q40" s="55"/>
      <c r="R40" s="55"/>
      <c r="S40" s="55"/>
      <c r="T40" s="55"/>
    </row>
    <row r="41" spans="2:20" x14ac:dyDescent="0.3">
      <c r="B41" s="54" t="str">
        <f>IF(
OR(L33="Print de evidência do backup na página de anexos.",L33="ALERTA: Risco de perda de dados sem o backup!"),"Hora de ínicio:",""
)</f>
        <v>Hora de ínicio:</v>
      </c>
      <c r="C41" s="54"/>
      <c r="D41" s="54"/>
      <c r="E41" s="54"/>
      <c r="F41" s="54"/>
      <c r="G41" s="54"/>
      <c r="H41" s="54"/>
      <c r="I41" s="54"/>
      <c r="J41" s="54"/>
      <c r="K41" s="54"/>
      <c r="L41" s="56">
        <v>0</v>
      </c>
      <c r="M41" s="56"/>
      <c r="N41" s="56"/>
      <c r="O41" s="56"/>
      <c r="P41" s="56"/>
      <c r="Q41" s="56"/>
      <c r="R41" s="56"/>
      <c r="S41" s="56"/>
      <c r="T41" s="56"/>
    </row>
    <row r="42" spans="2:20" x14ac:dyDescent="0.3">
      <c r="B42" s="54" t="str">
        <f>IF(L41&lt;&gt;"","Tempo total de execução:","")</f>
        <v>Tempo total de execução:</v>
      </c>
      <c r="C42" s="54"/>
      <c r="D42" s="54"/>
      <c r="E42" s="54"/>
      <c r="F42" s="54"/>
      <c r="G42" s="54"/>
      <c r="H42" s="54"/>
      <c r="I42" s="54"/>
      <c r="J42" s="54"/>
      <c r="K42" s="54"/>
      <c r="L42" s="57">
        <v>2.0833333333333332E-2</v>
      </c>
      <c r="M42" s="58"/>
      <c r="N42" s="58"/>
      <c r="O42" s="58"/>
      <c r="P42" s="58"/>
      <c r="Q42" s="58"/>
      <c r="R42" s="58"/>
      <c r="S42" s="58"/>
      <c r="T42" s="58"/>
    </row>
    <row r="43" spans="2:20" x14ac:dyDescent="0.3">
      <c r="B43" s="54" t="str">
        <f>IF(L42&lt;&gt;"","Tempo total de paralização:","")</f>
        <v>Tempo total de paralização:</v>
      </c>
      <c r="C43" s="54"/>
      <c r="D43" s="54"/>
      <c r="E43" s="54"/>
      <c r="F43" s="54"/>
      <c r="G43" s="54"/>
      <c r="H43" s="54"/>
      <c r="I43" s="54"/>
      <c r="J43" s="54"/>
      <c r="K43" s="54"/>
      <c r="L43" s="63">
        <v>2.0833333333333332E-2</v>
      </c>
      <c r="M43" s="64"/>
      <c r="N43" s="64"/>
      <c r="O43" s="64"/>
      <c r="P43" s="64"/>
      <c r="Q43" s="64"/>
      <c r="R43" s="64"/>
      <c r="S43" s="64"/>
      <c r="T43" s="65"/>
    </row>
    <row r="44" spans="2:20" x14ac:dyDescent="0.3">
      <c r="B44" s="54" t="str">
        <f>IF(L43&lt;&gt;"","Tempo total para testes","")</f>
        <v>Tempo total para testes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2.0833333333333332E-2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54" t="str">
        <f>IF(L44&lt;&gt;"","Tempo total para tentativa de correções:","")</f>
        <v>Tempo total para tentativa de correções: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4.1666666666666664E-2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plano de volta:","")</f>
        <v>Tempo total para plano de volta: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4.1666666666666664E-2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66"/>
      <c r="C47" s="67"/>
      <c r="D47" s="67"/>
      <c r="E47" s="68"/>
      <c r="F47" s="69"/>
      <c r="G47" s="70"/>
      <c r="H47" s="70"/>
      <c r="I47" s="70"/>
      <c r="J47" s="71"/>
    </row>
    <row r="48" spans="2:20" ht="18" x14ac:dyDescent="0.35">
      <c r="B48" s="4" t="s">
        <v>37</v>
      </c>
      <c r="C48" s="7"/>
      <c r="D48" s="7"/>
      <c r="E48" s="8"/>
      <c r="F48" s="9"/>
      <c r="G48" s="10"/>
      <c r="H48" s="10"/>
      <c r="I48" s="10"/>
      <c r="J48" s="11"/>
    </row>
    <row r="49" spans="2:20" s="19" customFormat="1" x14ac:dyDescent="0.3">
      <c r="B49" s="72" t="s">
        <v>38</v>
      </c>
      <c r="C49" s="72"/>
      <c r="D49" s="72"/>
      <c r="E49" s="72"/>
      <c r="F49" s="72"/>
      <c r="G49" s="72"/>
      <c r="H49" s="72"/>
      <c r="I49" s="73" t="s">
        <v>39</v>
      </c>
      <c r="J49" s="73"/>
      <c r="K49" s="73"/>
      <c r="L49" s="73" t="s">
        <v>40</v>
      </c>
      <c r="M49" s="73"/>
      <c r="N49" s="72" t="s">
        <v>41</v>
      </c>
      <c r="O49" s="72"/>
      <c r="P49" s="72"/>
      <c r="Q49" s="72"/>
      <c r="R49" s="72"/>
      <c r="S49" s="72"/>
      <c r="T49" s="72"/>
    </row>
    <row r="50" spans="2:20" s="19" customFormat="1" ht="15" customHeight="1" x14ac:dyDescent="0.3">
      <c r="B50" s="74" t="s">
        <v>42</v>
      </c>
      <c r="C50" s="74"/>
      <c r="D50" s="74"/>
      <c r="E50" s="74"/>
      <c r="F50" s="74"/>
      <c r="G50" s="74"/>
      <c r="H50" s="74"/>
      <c r="I50" s="75" t="s">
        <v>43</v>
      </c>
      <c r="J50" s="75"/>
      <c r="K50" s="75"/>
      <c r="L50" s="75" t="s">
        <v>44</v>
      </c>
      <c r="M50" s="75"/>
      <c r="N50" s="74" t="s">
        <v>45</v>
      </c>
      <c r="O50" s="74"/>
      <c r="P50" s="74"/>
      <c r="Q50" s="74"/>
      <c r="R50" s="74"/>
      <c r="S50" s="74"/>
      <c r="T50" s="74"/>
    </row>
    <row r="51" spans="2:20" s="19" customFormat="1" x14ac:dyDescent="0.3">
      <c r="B51" s="74"/>
      <c r="C51" s="74"/>
      <c r="D51" s="74"/>
      <c r="E51" s="74"/>
      <c r="F51" s="74"/>
      <c r="G51" s="74"/>
      <c r="H51" s="74"/>
      <c r="I51" s="75"/>
      <c r="J51" s="75"/>
      <c r="K51" s="75"/>
      <c r="L51" s="75"/>
      <c r="M51" s="75"/>
      <c r="N51" s="74"/>
      <c r="O51" s="74"/>
      <c r="P51" s="74"/>
      <c r="Q51" s="74"/>
      <c r="R51" s="74"/>
      <c r="S51" s="74"/>
      <c r="T51" s="74"/>
    </row>
    <row r="52" spans="2:20" s="19" customFormat="1" x14ac:dyDescent="0.3">
      <c r="B52" s="74"/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4"/>
      <c r="O52" s="74"/>
      <c r="P52" s="74"/>
      <c r="Q52" s="74"/>
      <c r="R52" s="74"/>
      <c r="S52" s="74"/>
      <c r="T52" s="74"/>
    </row>
    <row r="53" spans="2:20" s="19" customFormat="1" x14ac:dyDescent="0.3">
      <c r="B53" s="74"/>
      <c r="C53" s="74"/>
      <c r="D53" s="74"/>
      <c r="E53" s="74"/>
      <c r="F53" s="74"/>
      <c r="G53" s="74"/>
      <c r="H53" s="74"/>
      <c r="I53" s="75"/>
      <c r="J53" s="75"/>
      <c r="K53" s="75"/>
      <c r="L53" s="75"/>
      <c r="M53" s="75"/>
      <c r="N53" s="74"/>
      <c r="O53" s="74"/>
      <c r="P53" s="74"/>
      <c r="Q53" s="74"/>
      <c r="R53" s="74"/>
      <c r="S53" s="74"/>
      <c r="T53" s="74"/>
    </row>
    <row r="54" spans="2:20" s="19" customFormat="1" x14ac:dyDescent="0.3">
      <c r="B54" s="74"/>
      <c r="C54" s="74"/>
      <c r="D54" s="74"/>
      <c r="E54" s="74"/>
      <c r="F54" s="74"/>
      <c r="G54" s="74"/>
      <c r="H54" s="74"/>
      <c r="I54" s="75"/>
      <c r="J54" s="75"/>
      <c r="K54" s="75"/>
      <c r="L54" s="75"/>
      <c r="M54" s="75"/>
      <c r="N54" s="74"/>
      <c r="O54" s="74"/>
      <c r="P54" s="74"/>
      <c r="Q54" s="74"/>
      <c r="R54" s="74"/>
      <c r="S54" s="74"/>
      <c r="T54" s="74"/>
    </row>
    <row r="55" spans="2:20" s="19" customFormat="1" x14ac:dyDescent="0.3">
      <c r="B55" s="74"/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4"/>
      <c r="O55" s="74"/>
      <c r="P55" s="74"/>
      <c r="Q55" s="74"/>
      <c r="R55" s="74"/>
      <c r="S55" s="74"/>
      <c r="T55" s="74"/>
    </row>
    <row r="56" spans="2:20" s="19" customFormat="1" x14ac:dyDescent="0.3">
      <c r="B56" s="74"/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4"/>
      <c r="O56" s="74"/>
      <c r="P56" s="74"/>
      <c r="Q56" s="74"/>
      <c r="R56" s="74"/>
      <c r="S56" s="74"/>
      <c r="T56" s="74"/>
    </row>
    <row r="60" spans="2:20" ht="18" x14ac:dyDescent="0.35">
      <c r="B60" s="4" t="s">
        <v>46</v>
      </c>
    </row>
    <row r="61" spans="2:20" s="19" customFormat="1" x14ac:dyDescent="0.3">
      <c r="B61" s="72" t="s">
        <v>47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3" t="s">
        <v>48</v>
      </c>
      <c r="N61" s="73"/>
      <c r="O61" s="73"/>
      <c r="P61" s="73" t="s">
        <v>49</v>
      </c>
      <c r="Q61" s="73"/>
      <c r="R61" s="73"/>
      <c r="S61" s="73"/>
      <c r="T61" s="73"/>
    </row>
    <row r="62" spans="2:20" s="19" customFormat="1" x14ac:dyDescent="0.3">
      <c r="B62" s="89" t="s">
        <v>201</v>
      </c>
      <c r="C62" s="90"/>
      <c r="D62" s="90"/>
      <c r="E62" s="90"/>
      <c r="F62" s="90"/>
      <c r="G62" s="90"/>
      <c r="H62" s="90"/>
      <c r="I62" s="90"/>
      <c r="J62" s="90"/>
      <c r="K62" s="90"/>
      <c r="L62" s="91"/>
      <c r="M62" s="77" t="s">
        <v>51</v>
      </c>
      <c r="N62" s="77"/>
      <c r="O62" s="77"/>
      <c r="P62" s="77" t="str">
        <f>D28</f>
        <v>Murilo Moraes</v>
      </c>
      <c r="Q62" s="77"/>
      <c r="R62" s="77"/>
      <c r="S62" s="77"/>
      <c r="T62" s="77"/>
    </row>
    <row r="63" spans="2:20" s="19" customFormat="1" ht="15" customHeight="1" x14ac:dyDescent="0.3">
      <c r="B63" s="76" t="s">
        <v>202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7" t="s">
        <v>51</v>
      </c>
      <c r="N63" s="77"/>
      <c r="O63" s="77"/>
      <c r="P63" s="77">
        <f>$D$24</f>
        <v>0</v>
      </c>
      <c r="Q63" s="77"/>
      <c r="R63" s="77"/>
      <c r="S63" s="77"/>
      <c r="T63" s="77"/>
    </row>
    <row r="64" spans="2:20" s="19" customFormat="1" x14ac:dyDescent="0.3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7"/>
      <c r="N64" s="77"/>
      <c r="O64" s="77"/>
      <c r="P64" s="77"/>
      <c r="Q64" s="77"/>
      <c r="R64" s="77"/>
      <c r="S64" s="77"/>
      <c r="T64" s="77"/>
    </row>
    <row r="65" spans="2:20" s="19" customFormat="1" x14ac:dyDescent="0.3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7"/>
      <c r="N65" s="77"/>
      <c r="O65" s="77"/>
      <c r="P65" s="77"/>
      <c r="Q65" s="77"/>
      <c r="R65" s="77"/>
      <c r="S65" s="77"/>
      <c r="T65" s="77"/>
    </row>
    <row r="66" spans="2:20" x14ac:dyDescent="0.3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7"/>
      <c r="N66" s="77"/>
      <c r="O66" s="77"/>
      <c r="P66" s="78"/>
      <c r="Q66" s="78"/>
      <c r="R66" s="78"/>
      <c r="S66" s="78"/>
      <c r="T66" s="78"/>
    </row>
    <row r="67" spans="2:20" x14ac:dyDescent="0.3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7"/>
      <c r="N67" s="77"/>
      <c r="O67" s="77"/>
      <c r="P67" s="78"/>
      <c r="Q67" s="78"/>
      <c r="R67" s="78"/>
      <c r="S67" s="78"/>
      <c r="T67" s="78"/>
    </row>
    <row r="68" spans="2:20" x14ac:dyDescent="0.3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7"/>
      <c r="N68" s="77"/>
      <c r="O68" s="77"/>
      <c r="P68" s="78"/>
      <c r="Q68" s="78"/>
      <c r="R68" s="78"/>
      <c r="S68" s="78"/>
      <c r="T68" s="78"/>
    </row>
    <row r="69" spans="2:20" x14ac:dyDescent="0.3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7"/>
      <c r="N69" s="77"/>
      <c r="O69" s="77"/>
      <c r="P69" s="78"/>
      <c r="Q69" s="78"/>
      <c r="R69" s="78"/>
      <c r="S69" s="78"/>
      <c r="T69" s="78"/>
    </row>
    <row r="71" spans="2:20" ht="18" x14ac:dyDescent="0.35">
      <c r="B71" s="4" t="s">
        <v>54</v>
      </c>
    </row>
    <row r="72" spans="2:20" ht="15" customHeight="1" x14ac:dyDescent="0.3">
      <c r="B72" s="83" t="s">
        <v>55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2:20" x14ac:dyDescent="0.3">
      <c r="B73" s="84" t="s">
        <v>47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5" t="s">
        <v>56</v>
      </c>
      <c r="N73" s="85"/>
      <c r="O73" s="85"/>
      <c r="P73" s="86" t="s">
        <v>49</v>
      </c>
      <c r="Q73" s="87"/>
      <c r="R73" s="87"/>
      <c r="S73" s="87"/>
      <c r="T73" s="88"/>
    </row>
    <row r="74" spans="2:20" s="19" customFormat="1" ht="15" customHeight="1" x14ac:dyDescent="0.3">
      <c r="B74" s="89" t="s">
        <v>203</v>
      </c>
      <c r="C74" s="90"/>
      <c r="D74" s="90"/>
      <c r="E74" s="90"/>
      <c r="F74" s="90"/>
      <c r="G74" s="90"/>
      <c r="H74" s="90"/>
      <c r="I74" s="90"/>
      <c r="J74" s="90"/>
      <c r="K74" s="90"/>
      <c r="L74" s="91"/>
      <c r="M74" s="79" t="s">
        <v>33</v>
      </c>
      <c r="N74" s="79"/>
      <c r="O74" s="79"/>
      <c r="P74" s="92" t="str">
        <f>D28</f>
        <v>Murilo Moraes</v>
      </c>
      <c r="Q74" s="93"/>
      <c r="R74" s="93"/>
      <c r="S74" s="93"/>
      <c r="T74" s="94"/>
    </row>
    <row r="75" spans="2:20" s="15" customFormat="1" x14ac:dyDescent="0.3">
      <c r="B75" s="74" t="s">
        <v>204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9" t="s">
        <v>30</v>
      </c>
      <c r="N75" s="79"/>
      <c r="O75" s="79"/>
      <c r="P75" s="80" t="str">
        <f>D28</f>
        <v>Murilo Moraes</v>
      </c>
      <c r="Q75" s="81"/>
      <c r="R75" s="81"/>
      <c r="S75" s="81"/>
      <c r="T75" s="82"/>
    </row>
    <row r="76" spans="2:20" s="15" customFormat="1" ht="36.75" customHeight="1" x14ac:dyDescent="0.3">
      <c r="B76" s="74" t="s">
        <v>205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9" t="s">
        <v>30</v>
      </c>
      <c r="N76" s="79"/>
      <c r="O76" s="79"/>
      <c r="P76" s="80" t="str">
        <f>D28</f>
        <v>Murilo Moraes</v>
      </c>
      <c r="Q76" s="81"/>
      <c r="R76" s="81"/>
      <c r="S76" s="81"/>
      <c r="T76" s="82"/>
    </row>
    <row r="77" spans="2:20" s="15" customFormat="1" x14ac:dyDescent="0.3">
      <c r="B77" s="74" t="s">
        <v>206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9" t="s">
        <v>30</v>
      </c>
      <c r="N77" s="79"/>
      <c r="O77" s="79"/>
      <c r="P77" s="80" t="str">
        <f t="shared" ref="P77" si="0">D28</f>
        <v>Murilo Moraes</v>
      </c>
      <c r="Q77" s="81"/>
      <c r="R77" s="81"/>
      <c r="S77" s="81"/>
      <c r="T77" s="82"/>
    </row>
    <row r="78" spans="2:20" s="19" customFormat="1" x14ac:dyDescent="0.3">
      <c r="B78" s="76" t="s">
        <v>207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9" t="s">
        <v>30</v>
      </c>
      <c r="N78" s="79"/>
      <c r="O78" s="79"/>
      <c r="P78" s="92" t="str">
        <f>D28</f>
        <v>Murilo Moraes</v>
      </c>
      <c r="Q78" s="93"/>
      <c r="R78" s="93"/>
      <c r="S78" s="93"/>
      <c r="T78" s="94"/>
    </row>
    <row r="79" spans="2:20" s="19" customFormat="1" x14ac:dyDescent="0.3">
      <c r="B79" s="76" t="s">
        <v>208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 t="s">
        <v>30</v>
      </c>
      <c r="N79" s="79"/>
      <c r="O79" s="79"/>
      <c r="P79" s="92" t="str">
        <f>D28</f>
        <v>Murilo Moraes</v>
      </c>
      <c r="Q79" s="93"/>
      <c r="R79" s="93"/>
      <c r="S79" s="93"/>
      <c r="T79" s="94"/>
    </row>
    <row r="80" spans="2:20" s="19" customFormat="1" x14ac:dyDescent="0.3">
      <c r="B80" s="76" t="s">
        <v>209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9" t="s">
        <v>33</v>
      </c>
      <c r="N80" s="79"/>
      <c r="O80" s="79"/>
      <c r="P80" s="92">
        <f>$D$24</f>
        <v>0</v>
      </c>
      <c r="Q80" s="93"/>
      <c r="R80" s="93"/>
      <c r="S80" s="93"/>
      <c r="T80" s="94"/>
    </row>
    <row r="81" spans="2:20" s="19" customFormat="1" x14ac:dyDescent="0.3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9"/>
      <c r="N81" s="79"/>
      <c r="O81" s="79"/>
      <c r="P81" s="92"/>
      <c r="Q81" s="93"/>
      <c r="R81" s="93"/>
      <c r="S81" s="93"/>
      <c r="T81" s="94"/>
    </row>
    <row r="82" spans="2:20" s="19" customFormat="1" x14ac:dyDescent="0.3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/>
      <c r="N82" s="79"/>
      <c r="O82" s="79"/>
      <c r="P82" s="92"/>
      <c r="Q82" s="93"/>
      <c r="R82" s="93"/>
      <c r="S82" s="93"/>
      <c r="T82" s="94"/>
    </row>
    <row r="83" spans="2:20" s="19" customFormat="1" x14ac:dyDescent="0.3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9"/>
      <c r="N83" s="79"/>
      <c r="O83" s="79"/>
      <c r="P83" s="92"/>
      <c r="Q83" s="93"/>
      <c r="R83" s="93"/>
      <c r="S83" s="93"/>
      <c r="T83" s="94"/>
    </row>
    <row r="84" spans="2:20" s="19" customFormat="1" x14ac:dyDescent="0.3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/>
      <c r="N84" s="79"/>
      <c r="O84" s="79"/>
      <c r="P84" s="92"/>
      <c r="Q84" s="93"/>
      <c r="R84" s="93"/>
      <c r="S84" s="93"/>
      <c r="T84" s="94"/>
    </row>
    <row r="86" spans="2:20" ht="18" x14ac:dyDescent="0.35">
      <c r="B86" s="4" t="s">
        <v>57</v>
      </c>
    </row>
    <row r="87" spans="2:20" x14ac:dyDescent="0.3">
      <c r="B87" s="83" t="s">
        <v>58</v>
      </c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2:20" x14ac:dyDescent="0.3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</row>
    <row r="89" spans="2:20" x14ac:dyDescent="0.3">
      <c r="B89" s="84" t="s">
        <v>47</v>
      </c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97" t="s">
        <v>59</v>
      </c>
      <c r="N89" s="97"/>
      <c r="O89" s="97"/>
      <c r="P89" s="86" t="s">
        <v>49</v>
      </c>
      <c r="Q89" s="87"/>
      <c r="R89" s="87"/>
      <c r="S89" s="87"/>
      <c r="T89" s="88"/>
    </row>
    <row r="90" spans="2:20" s="12" customFormat="1" ht="15" customHeight="1" x14ac:dyDescent="0.3">
      <c r="B90" s="74" t="s">
        <v>210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99">
        <v>4.1666666666666664E-2</v>
      </c>
      <c r="N90" s="77"/>
      <c r="O90" s="77"/>
      <c r="P90" s="92" t="str">
        <f>D28</f>
        <v>Murilo Moraes</v>
      </c>
      <c r="Q90" s="93"/>
      <c r="R90" s="93"/>
      <c r="S90" s="93"/>
      <c r="T90" s="94"/>
    </row>
    <row r="91" spans="2:20" s="12" customFormat="1" ht="13.8" x14ac:dyDescent="0.3">
      <c r="B91" s="100"/>
      <c r="C91" s="101"/>
      <c r="D91" s="101"/>
      <c r="E91" s="101"/>
      <c r="F91" s="101"/>
      <c r="G91" s="101"/>
      <c r="H91" s="101"/>
      <c r="I91" s="101"/>
      <c r="J91" s="101"/>
      <c r="K91" s="101"/>
      <c r="L91" s="102"/>
      <c r="M91" s="99"/>
      <c r="N91" s="77"/>
      <c r="O91" s="77"/>
      <c r="P91" s="92"/>
      <c r="Q91" s="93"/>
      <c r="R91" s="93"/>
      <c r="S91" s="93"/>
      <c r="T91" s="94"/>
    </row>
    <row r="92" spans="2:20" s="12" customFormat="1" ht="13.8" x14ac:dyDescent="0.3"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99"/>
      <c r="N92" s="77"/>
      <c r="O92" s="77"/>
      <c r="P92" s="92"/>
      <c r="Q92" s="93"/>
      <c r="R92" s="93"/>
      <c r="S92" s="93"/>
      <c r="T92" s="94"/>
    </row>
    <row r="93" spans="2:20" s="12" customFormat="1" ht="13.8" x14ac:dyDescent="0.3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99"/>
      <c r="N93" s="77"/>
      <c r="O93" s="77"/>
      <c r="P93" s="92"/>
      <c r="Q93" s="93"/>
      <c r="R93" s="93"/>
      <c r="S93" s="93"/>
      <c r="T93" s="94"/>
    </row>
    <row r="94" spans="2:20" s="12" customFormat="1" ht="13.8" x14ac:dyDescent="0.3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99"/>
      <c r="N94" s="77"/>
      <c r="O94" s="77"/>
      <c r="P94" s="92"/>
      <c r="Q94" s="93"/>
      <c r="R94" s="93"/>
      <c r="S94" s="93"/>
      <c r="T94" s="94"/>
    </row>
    <row r="95" spans="2:20" s="12" customFormat="1" ht="15" customHeight="1" x14ac:dyDescent="0.3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7"/>
      <c r="N95" s="77"/>
      <c r="O95" s="77"/>
      <c r="P95" s="92"/>
      <c r="Q95" s="93"/>
      <c r="R95" s="93"/>
      <c r="S95" s="93"/>
      <c r="T95" s="94"/>
    </row>
    <row r="96" spans="2:20" s="12" customFormat="1" ht="15" customHeight="1" x14ac:dyDescent="0.3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7"/>
      <c r="N96" s="77"/>
      <c r="O96" s="77"/>
      <c r="P96" s="92"/>
      <c r="Q96" s="93"/>
      <c r="R96" s="93"/>
      <c r="S96" s="93"/>
      <c r="T96" s="94"/>
    </row>
    <row r="97" spans="2:20" s="12" customFormat="1" ht="15" customHeight="1" x14ac:dyDescent="0.35">
      <c r="B97" s="4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2:20" ht="18" x14ac:dyDescent="0.35">
      <c r="B98" s="4" t="s">
        <v>61</v>
      </c>
    </row>
    <row r="99" spans="2:20" ht="15" customHeight="1" x14ac:dyDescent="0.3">
      <c r="B99" s="96" t="s">
        <v>62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</row>
    <row r="100" spans="2:20" x14ac:dyDescent="0.3">
      <c r="B100" s="84" t="s">
        <v>47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97" t="s">
        <v>59</v>
      </c>
      <c r="N100" s="97"/>
      <c r="O100" s="97"/>
      <c r="P100" s="86" t="s">
        <v>49</v>
      </c>
      <c r="Q100" s="87"/>
      <c r="R100" s="87"/>
      <c r="S100" s="87"/>
      <c r="T100" s="88"/>
    </row>
    <row r="101" spans="2:20" x14ac:dyDescent="0.3">
      <c r="B101" s="74" t="s">
        <v>211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99"/>
      <c r="N101" s="77"/>
      <c r="O101" s="77"/>
      <c r="P101" s="92"/>
      <c r="Q101" s="93"/>
      <c r="R101" s="93"/>
      <c r="S101" s="93"/>
      <c r="T101" s="94"/>
    </row>
    <row r="102" spans="2:20" s="12" customFormat="1" ht="15" customHeight="1" x14ac:dyDescent="0.3">
      <c r="B102" s="100"/>
      <c r="C102" s="101"/>
      <c r="D102" s="101"/>
      <c r="E102" s="101"/>
      <c r="F102" s="101"/>
      <c r="G102" s="101"/>
      <c r="H102" s="101"/>
      <c r="I102" s="101"/>
      <c r="J102" s="101"/>
      <c r="K102" s="101"/>
      <c r="L102" s="102"/>
      <c r="M102" s="99"/>
      <c r="N102" s="77"/>
      <c r="O102" s="77"/>
      <c r="P102" s="92"/>
      <c r="Q102" s="93"/>
      <c r="R102" s="93"/>
      <c r="S102" s="93"/>
      <c r="T102" s="94"/>
    </row>
    <row r="103" spans="2:20" s="12" customFormat="1" ht="13.8" x14ac:dyDescent="0.3"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99"/>
      <c r="N103" s="77"/>
      <c r="O103" s="77"/>
      <c r="P103" s="92"/>
      <c r="Q103" s="93"/>
      <c r="R103" s="93"/>
      <c r="S103" s="93"/>
      <c r="T103" s="94"/>
    </row>
    <row r="104" spans="2:20" s="12" customFormat="1" ht="13.8" x14ac:dyDescent="0.3"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9"/>
      <c r="N104" s="77"/>
      <c r="O104" s="77"/>
      <c r="P104" s="92"/>
      <c r="Q104" s="93"/>
      <c r="R104" s="93"/>
      <c r="S104" s="93"/>
      <c r="T104" s="94"/>
    </row>
    <row r="105" spans="2:20" s="12" customFormat="1" ht="13.8" x14ac:dyDescent="0.3"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99"/>
      <c r="N105" s="77"/>
      <c r="O105" s="77"/>
      <c r="P105" s="92"/>
      <c r="Q105" s="93"/>
      <c r="R105" s="93"/>
      <c r="S105" s="93"/>
      <c r="T105" s="94"/>
    </row>
    <row r="106" spans="2:20" s="12" customFormat="1" ht="13.8" x14ac:dyDescent="0.3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9"/>
      <c r="N106" s="77"/>
      <c r="O106" s="77"/>
      <c r="P106" s="92"/>
      <c r="Q106" s="93"/>
      <c r="R106" s="93"/>
      <c r="S106" s="93"/>
      <c r="T106" s="94"/>
    </row>
    <row r="107" spans="2:20" s="12" customFormat="1" ht="13.8" x14ac:dyDescent="0.3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/>
      <c r="N107" s="77"/>
      <c r="O107" s="77"/>
      <c r="P107" s="92"/>
      <c r="Q107" s="93"/>
      <c r="R107" s="93"/>
      <c r="S107" s="93"/>
      <c r="T107" s="94"/>
    </row>
    <row r="108" spans="2:20" s="12" customFormat="1" ht="13.8" x14ac:dyDescent="0.3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99"/>
      <c r="N108" s="77"/>
      <c r="O108" s="77"/>
      <c r="P108" s="92"/>
      <c r="Q108" s="93"/>
      <c r="R108" s="93"/>
      <c r="S108" s="93"/>
      <c r="T108" s="94"/>
    </row>
    <row r="109" spans="2:20" x14ac:dyDescent="0.3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2:20" ht="15" customHeight="1" x14ac:dyDescent="0.35">
      <c r="B110" s="4" t="s">
        <v>64</v>
      </c>
      <c r="C110" s="5"/>
      <c r="D110" s="5"/>
      <c r="E110" s="5"/>
      <c r="F110" s="5"/>
      <c r="G110" s="5"/>
      <c r="H110" s="5"/>
      <c r="I110" s="5"/>
      <c r="J110" s="5"/>
    </row>
    <row r="111" spans="2:20" x14ac:dyDescent="0.3">
      <c r="B111" s="109" t="s">
        <v>0</v>
      </c>
      <c r="C111" s="110"/>
      <c r="D111" s="110"/>
      <c r="E111" s="110"/>
      <c r="F111" s="110"/>
      <c r="G111" s="110"/>
      <c r="H111" s="111"/>
      <c r="I111" s="109" t="s">
        <v>65</v>
      </c>
      <c r="J111" s="110"/>
      <c r="K111" s="110"/>
      <c r="L111" s="111"/>
      <c r="M111" s="86" t="s">
        <v>66</v>
      </c>
      <c r="N111" s="87"/>
      <c r="O111" s="87"/>
      <c r="P111" s="88"/>
      <c r="Q111" s="86" t="s">
        <v>1</v>
      </c>
      <c r="R111" s="87"/>
      <c r="S111" s="87"/>
      <c r="T111" s="88"/>
    </row>
    <row r="112" spans="2:20" x14ac:dyDescent="0.3">
      <c r="B112" s="103" t="str">
        <f>D28</f>
        <v>Murilo Moraes</v>
      </c>
      <c r="C112" s="104"/>
      <c r="D112" s="104"/>
      <c r="E112" s="104"/>
      <c r="F112" s="104"/>
      <c r="G112" s="104"/>
      <c r="H112" s="105"/>
      <c r="I112" s="103" t="s">
        <v>3</v>
      </c>
      <c r="J112" s="104"/>
      <c r="K112" s="104"/>
      <c r="L112" s="105"/>
      <c r="M112" s="106" t="s">
        <v>53</v>
      </c>
      <c r="N112" s="107"/>
      <c r="O112" s="107"/>
      <c r="P112" s="108"/>
      <c r="Q112" s="106" t="s">
        <v>5</v>
      </c>
      <c r="R112" s="107"/>
      <c r="S112" s="107"/>
      <c r="T112" s="108"/>
    </row>
    <row r="113" spans="2:20" ht="15" customHeight="1" x14ac:dyDescent="0.3">
      <c r="B113" s="103" t="s">
        <v>67</v>
      </c>
      <c r="C113" s="104"/>
      <c r="D113" s="104"/>
      <c r="E113" s="104"/>
      <c r="F113" s="104"/>
      <c r="G113" s="104"/>
      <c r="H113" s="105"/>
      <c r="I113" s="103" t="s">
        <v>68</v>
      </c>
      <c r="J113" s="104"/>
      <c r="K113" s="104"/>
      <c r="L113" s="105"/>
      <c r="M113" s="106" t="s">
        <v>53</v>
      </c>
      <c r="N113" s="107"/>
      <c r="O113" s="107"/>
      <c r="P113" s="108"/>
      <c r="Q113" s="106" t="s">
        <v>2</v>
      </c>
      <c r="R113" s="107"/>
      <c r="S113" s="107"/>
      <c r="T113" s="108"/>
    </row>
    <row r="114" spans="2:20" x14ac:dyDescent="0.3">
      <c r="B114" s="103" t="s">
        <v>69</v>
      </c>
      <c r="C114" s="104"/>
      <c r="D114" s="104"/>
      <c r="E114" s="104"/>
      <c r="F114" s="104"/>
      <c r="G114" s="104"/>
      <c r="H114" s="105"/>
      <c r="I114" s="103" t="s">
        <v>70</v>
      </c>
      <c r="J114" s="104"/>
      <c r="K114" s="104"/>
      <c r="L114" s="105"/>
      <c r="M114" s="106" t="s">
        <v>53</v>
      </c>
      <c r="N114" s="107"/>
      <c r="O114" s="107"/>
      <c r="P114" s="108"/>
      <c r="Q114" s="106" t="s">
        <v>5</v>
      </c>
      <c r="R114" s="107"/>
      <c r="S114" s="107"/>
      <c r="T114" s="108"/>
    </row>
    <row r="120" spans="2:20" ht="18" x14ac:dyDescent="0.35">
      <c r="B120" s="4" t="s">
        <v>71</v>
      </c>
      <c r="C120" s="5"/>
      <c r="D120" s="5"/>
      <c r="E120" s="5"/>
      <c r="F120" s="5"/>
      <c r="G120" s="5"/>
      <c r="H120" s="5"/>
      <c r="I120" s="5"/>
      <c r="J120" s="5"/>
    </row>
    <row r="121" spans="2:20" x14ac:dyDescent="0.3">
      <c r="B121" s="121" t="s">
        <v>72</v>
      </c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3"/>
    </row>
    <row r="122" spans="2:20" x14ac:dyDescent="0.3">
      <c r="B122" s="124" t="s">
        <v>212</v>
      </c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6"/>
    </row>
    <row r="123" spans="2:20" x14ac:dyDescent="0.3">
      <c r="B123" s="127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9"/>
    </row>
    <row r="124" spans="2:20" x14ac:dyDescent="0.3">
      <c r="B124" s="127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9"/>
    </row>
    <row r="125" spans="2:20" x14ac:dyDescent="0.3">
      <c r="B125" s="127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9"/>
    </row>
    <row r="126" spans="2:20" x14ac:dyDescent="0.3"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9"/>
    </row>
    <row r="127" spans="2:20" x14ac:dyDescent="0.3"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9"/>
    </row>
    <row r="128" spans="2:20" x14ac:dyDescent="0.3"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9"/>
    </row>
    <row r="129" spans="2:20" x14ac:dyDescent="0.3"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9"/>
    </row>
    <row r="130" spans="2:20" x14ac:dyDescent="0.3"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9"/>
    </row>
    <row r="131" spans="2:20" x14ac:dyDescent="0.3"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9"/>
    </row>
    <row r="132" spans="2:20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x14ac:dyDescent="0.3"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9"/>
    </row>
    <row r="134" spans="2:20" x14ac:dyDescent="0.3">
      <c r="B134" s="127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9"/>
    </row>
    <row r="135" spans="2:20" x14ac:dyDescent="0.3">
      <c r="B135" s="127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9"/>
    </row>
    <row r="136" spans="2:20" x14ac:dyDescent="0.3">
      <c r="B136" s="127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9"/>
    </row>
    <row r="137" spans="2:20" x14ac:dyDescent="0.3">
      <c r="B137" s="127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9"/>
    </row>
    <row r="138" spans="2:20" x14ac:dyDescent="0.3">
      <c r="B138" s="127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9"/>
    </row>
    <row r="139" spans="2:20" x14ac:dyDescent="0.3"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2:20" x14ac:dyDescent="0.3">
      <c r="B140" s="121" t="s">
        <v>73</v>
      </c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3"/>
    </row>
    <row r="141" spans="2:20" x14ac:dyDescent="0.3">
      <c r="B141" s="124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6"/>
    </row>
    <row r="142" spans="2:20" x14ac:dyDescent="0.3">
      <c r="B142" s="127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9"/>
    </row>
    <row r="143" spans="2:20" x14ac:dyDescent="0.3">
      <c r="B143" s="127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9"/>
    </row>
    <row r="144" spans="2:20" x14ac:dyDescent="0.3">
      <c r="B144" s="127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9"/>
    </row>
    <row r="145" spans="2:20" x14ac:dyDescent="0.3">
      <c r="B145" s="127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9"/>
    </row>
    <row r="146" spans="2:20" x14ac:dyDescent="0.3">
      <c r="B146" s="127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9"/>
    </row>
    <row r="147" spans="2:20" x14ac:dyDescent="0.3">
      <c r="B147" s="127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9"/>
    </row>
    <row r="148" spans="2:20" x14ac:dyDescent="0.3">
      <c r="B148" s="127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9"/>
    </row>
    <row r="149" spans="2:20" x14ac:dyDescent="0.3">
      <c r="B149" s="127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9"/>
    </row>
    <row r="150" spans="2:20" x14ac:dyDescent="0.3">
      <c r="B150" s="127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9"/>
    </row>
    <row r="151" spans="2:20" x14ac:dyDescent="0.3">
      <c r="B151" s="127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9"/>
    </row>
    <row r="152" spans="2:20" x14ac:dyDescent="0.3">
      <c r="B152" s="127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9"/>
    </row>
    <row r="153" spans="2:20" x14ac:dyDescent="0.3">
      <c r="B153" s="6"/>
      <c r="C153" s="6"/>
      <c r="D153" s="6"/>
      <c r="E153" s="6"/>
      <c r="F153" s="6"/>
      <c r="G153" s="6"/>
      <c r="H153" s="6"/>
      <c r="I153" s="6"/>
      <c r="J153" s="6"/>
    </row>
    <row r="154" spans="2:20" x14ac:dyDescent="0.3">
      <c r="B154" s="13"/>
    </row>
    <row r="155" spans="2:20" ht="18" x14ac:dyDescent="0.35">
      <c r="B155" s="4" t="s">
        <v>74</v>
      </c>
    </row>
    <row r="156" spans="2:20" x14ac:dyDescent="0.3">
      <c r="B156" s="109" t="s">
        <v>0</v>
      </c>
      <c r="C156" s="110"/>
      <c r="D156" s="110"/>
      <c r="E156" s="110"/>
      <c r="F156" s="110"/>
      <c r="G156" s="111"/>
      <c r="H156" s="109" t="s">
        <v>65</v>
      </c>
      <c r="I156" s="110"/>
      <c r="J156" s="110"/>
      <c r="K156" s="110"/>
      <c r="L156" s="111"/>
      <c r="M156" s="97" t="s">
        <v>66</v>
      </c>
      <c r="N156" s="97"/>
      <c r="O156" s="97"/>
      <c r="P156" s="97"/>
      <c r="Q156" s="86" t="s">
        <v>75</v>
      </c>
      <c r="R156" s="87"/>
      <c r="S156" s="87"/>
      <c r="T156" s="88"/>
    </row>
    <row r="157" spans="2:20" x14ac:dyDescent="0.3">
      <c r="B157" s="112" t="s">
        <v>67</v>
      </c>
      <c r="C157" s="113"/>
      <c r="D157" s="113"/>
      <c r="E157" s="113"/>
      <c r="F157" s="113"/>
      <c r="G157" s="114"/>
      <c r="H157" s="115" t="s">
        <v>76</v>
      </c>
      <c r="I157" s="116"/>
      <c r="J157" s="116"/>
      <c r="K157" s="116"/>
      <c r="L157" s="117"/>
      <c r="M157" s="118" t="s">
        <v>53</v>
      </c>
      <c r="N157" s="119"/>
      <c r="O157" s="119"/>
      <c r="P157" s="120"/>
      <c r="Q157" s="118"/>
      <c r="R157" s="119"/>
      <c r="S157" s="119"/>
      <c r="T157" s="120"/>
    </row>
  </sheetData>
  <mergeCells count="242">
    <mergeCell ref="M156:P156"/>
    <mergeCell ref="Q156:T156"/>
    <mergeCell ref="B157:G157"/>
    <mergeCell ref="H157:L157"/>
    <mergeCell ref="M157:P157"/>
    <mergeCell ref="Q157:T157"/>
    <mergeCell ref="M113:P113"/>
    <mergeCell ref="Q113:T113"/>
    <mergeCell ref="B114:H114"/>
    <mergeCell ref="I114:L114"/>
    <mergeCell ref="M114:P114"/>
    <mergeCell ref="Q114:T114"/>
    <mergeCell ref="B140:T140"/>
    <mergeCell ref="B141:T152"/>
    <mergeCell ref="B156:G156"/>
    <mergeCell ref="H156:L156"/>
    <mergeCell ref="B121:T121"/>
    <mergeCell ref="B122:T138"/>
    <mergeCell ref="B113:H113"/>
    <mergeCell ref="I113:L113"/>
    <mergeCell ref="B111:H111"/>
    <mergeCell ref="I111:L111"/>
    <mergeCell ref="M111:P111"/>
    <mergeCell ref="Q111:T111"/>
    <mergeCell ref="B112:H112"/>
    <mergeCell ref="I112:L112"/>
    <mergeCell ref="M112:P112"/>
    <mergeCell ref="Q112:T112"/>
    <mergeCell ref="M105:O105"/>
    <mergeCell ref="P105:T105"/>
    <mergeCell ref="B106:L106"/>
    <mergeCell ref="M106:O106"/>
    <mergeCell ref="P106:T106"/>
    <mergeCell ref="B107:L107"/>
    <mergeCell ref="M107:O107"/>
    <mergeCell ref="P107:T107"/>
    <mergeCell ref="B108:L108"/>
    <mergeCell ref="M108:O108"/>
    <mergeCell ref="P108:T108"/>
    <mergeCell ref="B83:L83"/>
    <mergeCell ref="M83:O83"/>
    <mergeCell ref="P83:T83"/>
    <mergeCell ref="B84:L84"/>
    <mergeCell ref="M84:O84"/>
    <mergeCell ref="P84:T84"/>
    <mergeCell ref="P100:T100"/>
    <mergeCell ref="B101:L101"/>
    <mergeCell ref="M101:O101"/>
    <mergeCell ref="P101:T101"/>
    <mergeCell ref="M94:O94"/>
    <mergeCell ref="P94:T94"/>
    <mergeCell ref="B95:L95"/>
    <mergeCell ref="M95:O95"/>
    <mergeCell ref="P95:T95"/>
    <mergeCell ref="B96:L96"/>
    <mergeCell ref="M96:O96"/>
    <mergeCell ref="P96:T96"/>
    <mergeCell ref="B93:L93"/>
    <mergeCell ref="M93:O93"/>
    <mergeCell ref="P93:T93"/>
    <mergeCell ref="B94:L94"/>
    <mergeCell ref="B92:L92"/>
    <mergeCell ref="M92:O92"/>
    <mergeCell ref="B51:H51"/>
    <mergeCell ref="I51:K51"/>
    <mergeCell ref="L51:M51"/>
    <mergeCell ref="N51:T51"/>
    <mergeCell ref="B65:L65"/>
    <mergeCell ref="M65:O65"/>
    <mergeCell ref="P65:T65"/>
    <mergeCell ref="M78:O78"/>
    <mergeCell ref="P78:T78"/>
    <mergeCell ref="P73:T73"/>
    <mergeCell ref="B74:L74"/>
    <mergeCell ref="M74:O74"/>
    <mergeCell ref="P74:T74"/>
    <mergeCell ref="B75:L75"/>
    <mergeCell ref="M75:O75"/>
    <mergeCell ref="P75:T75"/>
    <mergeCell ref="B72:T72"/>
    <mergeCell ref="B73:L73"/>
    <mergeCell ref="M73:O73"/>
    <mergeCell ref="B66:L66"/>
    <mergeCell ref="M66:O66"/>
    <mergeCell ref="P66:T66"/>
    <mergeCell ref="L55:M55"/>
    <mergeCell ref="N55:T55"/>
    <mergeCell ref="L53:M53"/>
    <mergeCell ref="N53:T53"/>
    <mergeCell ref="B54:H54"/>
    <mergeCell ref="I54:K54"/>
    <mergeCell ref="L54:M54"/>
    <mergeCell ref="N54:T54"/>
    <mergeCell ref="B55:H55"/>
    <mergeCell ref="I55:K55"/>
    <mergeCell ref="B53:H53"/>
    <mergeCell ref="I53:K53"/>
    <mergeCell ref="B43:K43"/>
    <mergeCell ref="L43:T43"/>
    <mergeCell ref="B44:K44"/>
    <mergeCell ref="L44:T44"/>
    <mergeCell ref="B42:K42"/>
    <mergeCell ref="L42:T42"/>
    <mergeCell ref="L49:M49"/>
    <mergeCell ref="N49:T49"/>
    <mergeCell ref="B50:H50"/>
    <mergeCell ref="I50:K50"/>
    <mergeCell ref="L50:M50"/>
    <mergeCell ref="N50:T50"/>
    <mergeCell ref="B49:H49"/>
    <mergeCell ref="I49:K49"/>
    <mergeCell ref="B5:I5"/>
    <mergeCell ref="J5:T5"/>
    <mergeCell ref="B6:I6"/>
    <mergeCell ref="J6:T6"/>
    <mergeCell ref="B7:I7"/>
    <mergeCell ref="J7:T7"/>
    <mergeCell ref="L29:M29"/>
    <mergeCell ref="N29:T29"/>
    <mergeCell ref="B32:F32"/>
    <mergeCell ref="G32:J32"/>
    <mergeCell ref="L32:P32"/>
    <mergeCell ref="Q32:T32"/>
    <mergeCell ref="B20:J20"/>
    <mergeCell ref="K20:T20"/>
    <mergeCell ref="D24:J24"/>
    <mergeCell ref="L24:M24"/>
    <mergeCell ref="N24:T24"/>
    <mergeCell ref="D25:J25"/>
    <mergeCell ref="L25:M25"/>
    <mergeCell ref="N25:T25"/>
    <mergeCell ref="B17:J17"/>
    <mergeCell ref="K17:T17"/>
    <mergeCell ref="B10:F10"/>
    <mergeCell ref="G10:T10"/>
    <mergeCell ref="B104:L104"/>
    <mergeCell ref="M104:O104"/>
    <mergeCell ref="P104:T104"/>
    <mergeCell ref="B105:L105"/>
    <mergeCell ref="B103:L103"/>
    <mergeCell ref="M103:O103"/>
    <mergeCell ref="P103:T103"/>
    <mergeCell ref="B99:T99"/>
    <mergeCell ref="B100:L100"/>
    <mergeCell ref="M100:O100"/>
    <mergeCell ref="B102:L102"/>
    <mergeCell ref="M102:O102"/>
    <mergeCell ref="P102:T102"/>
    <mergeCell ref="P92:T92"/>
    <mergeCell ref="B87:T88"/>
    <mergeCell ref="B89:L89"/>
    <mergeCell ref="M89:O89"/>
    <mergeCell ref="P89:T89"/>
    <mergeCell ref="B90:L90"/>
    <mergeCell ref="M90:O90"/>
    <mergeCell ref="P90:T90"/>
    <mergeCell ref="B91:L91"/>
    <mergeCell ref="M91:O91"/>
    <mergeCell ref="P91:T91"/>
    <mergeCell ref="B81:L81"/>
    <mergeCell ref="M81:O81"/>
    <mergeCell ref="P81:T81"/>
    <mergeCell ref="B82:L82"/>
    <mergeCell ref="B77:L77"/>
    <mergeCell ref="M77:O77"/>
    <mergeCell ref="P77:T77"/>
    <mergeCell ref="B78:L78"/>
    <mergeCell ref="B76:L76"/>
    <mergeCell ref="M76:O76"/>
    <mergeCell ref="P76:T76"/>
    <mergeCell ref="M82:O82"/>
    <mergeCell ref="P82:T82"/>
    <mergeCell ref="B79:L79"/>
    <mergeCell ref="M79:O79"/>
    <mergeCell ref="P79:T79"/>
    <mergeCell ref="B80:L80"/>
    <mergeCell ref="M80:O80"/>
    <mergeCell ref="P80:T80"/>
    <mergeCell ref="B69:L69"/>
    <mergeCell ref="M69:O69"/>
    <mergeCell ref="P69:T69"/>
    <mergeCell ref="M63:O63"/>
    <mergeCell ref="P63:T63"/>
    <mergeCell ref="B64:L64"/>
    <mergeCell ref="M64:O64"/>
    <mergeCell ref="P64:T64"/>
    <mergeCell ref="B61:L61"/>
    <mergeCell ref="M61:O61"/>
    <mergeCell ref="P61:T61"/>
    <mergeCell ref="B67:L67"/>
    <mergeCell ref="B62:L62"/>
    <mergeCell ref="M62:O62"/>
    <mergeCell ref="P62:T62"/>
    <mergeCell ref="B63:L63"/>
    <mergeCell ref="M67:O67"/>
    <mergeCell ref="P67:T67"/>
    <mergeCell ref="B68:L68"/>
    <mergeCell ref="M68:O68"/>
    <mergeCell ref="P68:T68"/>
    <mergeCell ref="B52:H52"/>
    <mergeCell ref="I52:K52"/>
    <mergeCell ref="L52:M52"/>
    <mergeCell ref="N52:T52"/>
    <mergeCell ref="B56:H56"/>
    <mergeCell ref="I56:K56"/>
    <mergeCell ref="L56:M56"/>
    <mergeCell ref="N56:T56"/>
    <mergeCell ref="B35:H35"/>
    <mergeCell ref="I35:J35"/>
    <mergeCell ref="L35:T35"/>
    <mergeCell ref="B36:H36"/>
    <mergeCell ref="B45:K45"/>
    <mergeCell ref="L45:T45"/>
    <mergeCell ref="B46:K46"/>
    <mergeCell ref="L46:T46"/>
    <mergeCell ref="B47:E47"/>
    <mergeCell ref="F47:J47"/>
    <mergeCell ref="I36:J36"/>
    <mergeCell ref="L36:T36"/>
    <mergeCell ref="B40:K40"/>
    <mergeCell ref="L40:T40"/>
    <mergeCell ref="B41:K41"/>
    <mergeCell ref="L41:T41"/>
    <mergeCell ref="B11:F11"/>
    <mergeCell ref="G11:T11"/>
    <mergeCell ref="B12:F12"/>
    <mergeCell ref="G12:T12"/>
    <mergeCell ref="B15:J15"/>
    <mergeCell ref="K15:T15"/>
    <mergeCell ref="B16:J16"/>
    <mergeCell ref="K16:T16"/>
    <mergeCell ref="B33:F33"/>
    <mergeCell ref="G33:J33"/>
    <mergeCell ref="L33:T33"/>
    <mergeCell ref="D28:J28"/>
    <mergeCell ref="L28:M28"/>
    <mergeCell ref="N28:T28"/>
    <mergeCell ref="D29:J29"/>
    <mergeCell ref="B18:J18"/>
    <mergeCell ref="K18:T18"/>
    <mergeCell ref="B19:J19"/>
    <mergeCell ref="K19:T19"/>
  </mergeCells>
  <conditionalFormatting sqref="B40:B46">
    <cfRule type="notContainsBlanks" dxfId="249" priority="34">
      <formula>LEN(TRIM(B40))&gt;0</formula>
    </cfRule>
  </conditionalFormatting>
  <conditionalFormatting sqref="D24:J25">
    <cfRule type="containsBlanks" dxfId="248" priority="15">
      <formula>LEN(TRIM(D24))=0</formula>
    </cfRule>
  </conditionalFormatting>
  <conditionalFormatting sqref="D28:J29">
    <cfRule type="containsBlanks" dxfId="247" priority="2">
      <formula>LEN(TRIM(D28))=0</formula>
    </cfRule>
  </conditionalFormatting>
  <conditionalFormatting sqref="G32:J33">
    <cfRule type="containsBlanks" dxfId="246" priority="11">
      <formula>LEN(TRIM(G32))=0</formula>
    </cfRule>
  </conditionalFormatting>
  <conditionalFormatting sqref="G10:T10">
    <cfRule type="containsBlanks" dxfId="245" priority="18">
      <formula>LEN(TRIM(G10))=0</formula>
    </cfRule>
  </conditionalFormatting>
  <conditionalFormatting sqref="G11:T12">
    <cfRule type="containsBlanks" dxfId="244" priority="29">
      <formula>LEN(TRIM(G11))=0</formula>
    </cfRule>
  </conditionalFormatting>
  <conditionalFormatting sqref="I35:I36">
    <cfRule type="containsBlanks" dxfId="243" priority="7">
      <formula>LEN(TRIM(I35))=0</formula>
    </cfRule>
  </conditionalFormatting>
  <conditionalFormatting sqref="J5:T5">
    <cfRule type="containsText" dxfId="242" priority="33" operator="containsText" text="Nome do Cliente">
      <formula>NOT(ISERROR(SEARCH("Nome do Cliente",J5)))</formula>
    </cfRule>
  </conditionalFormatting>
  <conditionalFormatting sqref="J5:T7">
    <cfRule type="containsBlanks" dxfId="241" priority="31">
      <formula>LEN(TRIM(J5))=0</formula>
    </cfRule>
  </conditionalFormatting>
  <conditionalFormatting sqref="J6:T6">
    <cfRule type="containsText" dxfId="240" priority="32" operator="containsText" text="01/01/2023">
      <formula>NOT(ISERROR(SEARCH("01/01/2023",J6)))</formula>
    </cfRule>
  </conditionalFormatting>
  <conditionalFormatting sqref="J7:T7">
    <cfRule type="containsText" dxfId="239" priority="30" operator="containsText" text="Nome do solicitante">
      <formula>NOT(ISERROR(SEARCH("Nome do solicitante",J7)))</formula>
    </cfRule>
  </conditionalFormatting>
  <conditionalFormatting sqref="L39">
    <cfRule type="notContainsBlanks" dxfId="238" priority="36">
      <formula>LEN(TRIM(L39))&gt;0</formula>
    </cfRule>
  </conditionalFormatting>
  <conditionalFormatting sqref="L33:T33">
    <cfRule type="beginsWith" dxfId="236" priority="8" operator="beginsWith" text="ABORTAR">
      <formula>LEFT(L33,LEN("ABORTAR"))="ABORTAR"</formula>
    </cfRule>
    <cfRule type="beginsWith" dxfId="235" priority="9" operator="beginsWith" text="Print">
      <formula>LEFT(L33,LEN("Print"))="Print"</formula>
    </cfRule>
    <cfRule type="beginsWith" dxfId="234" priority="10" operator="beginsWith" text="ALERTA">
      <formula>LEFT(L33,LEN("ALERTA"))="ALERTA"</formula>
    </cfRule>
  </conditionalFormatting>
  <conditionalFormatting sqref="L35:T36">
    <cfRule type="beginsWith" dxfId="233" priority="4" operator="beginsWith" text="ABORTAR">
      <formula>LEFT(L35,LEN("ABORTAR"))="ABORTAR"</formula>
    </cfRule>
    <cfRule type="beginsWith" dxfId="232" priority="5" operator="beginsWith" text="Print">
      <formula>LEFT(L35,LEN("Print"))="Print"</formula>
    </cfRule>
    <cfRule type="beginsWith" dxfId="231" priority="6" operator="beginsWith" text="ALERTA">
      <formula>LEFT(L35,LEN("ALERTA"))="ALERTA"</formula>
    </cfRule>
  </conditionalFormatting>
  <conditionalFormatting sqref="L40:T40">
    <cfRule type="expression" dxfId="230" priority="28">
      <formula>$B$40&lt;&gt;""</formula>
    </cfRule>
    <cfRule type="expression" dxfId="229" priority="27">
      <formula>AND($B$40&lt;&gt;"",$L$40="")</formula>
    </cfRule>
  </conditionalFormatting>
  <conditionalFormatting sqref="L41:T41">
    <cfRule type="expression" dxfId="228" priority="26">
      <formula>AND($B$41&lt;&gt;"",$L$41="")</formula>
    </cfRule>
  </conditionalFormatting>
  <conditionalFormatting sqref="L41:T46">
    <cfRule type="notContainsBlanks" dxfId="227" priority="20">
      <formula>LEN(TRIM(L41))&gt;0</formula>
    </cfRule>
  </conditionalFormatting>
  <conditionalFormatting sqref="L42:T42">
    <cfRule type="expression" dxfId="226" priority="25">
      <formula>AND($B$42&lt;&gt;"",$L$42="")</formula>
    </cfRule>
  </conditionalFormatting>
  <conditionalFormatting sqref="L43:T43">
    <cfRule type="expression" dxfId="225" priority="24">
      <formula>AND($B$43&lt;&gt;"",$L$43="")</formula>
    </cfRule>
  </conditionalFormatting>
  <conditionalFormatting sqref="L44:T44">
    <cfRule type="expression" dxfId="224" priority="23">
      <formula>AND($B$44&lt;&gt;"",$L$44="")</formula>
    </cfRule>
  </conditionalFormatting>
  <conditionalFormatting sqref="L45:T45">
    <cfRule type="expression" dxfId="223" priority="22">
      <formula>AND($B$45&lt;&gt;"",$L$45="")</formula>
    </cfRule>
  </conditionalFormatting>
  <conditionalFormatting sqref="L46:T46">
    <cfRule type="expression" dxfId="222" priority="21">
      <formula>AND($B$46&lt;&gt;"",$L$46="")</formula>
    </cfRule>
  </conditionalFormatting>
  <conditionalFormatting sqref="N24:T25">
    <cfRule type="containsBlanks" dxfId="221" priority="17">
      <formula>LEN(TRIM(N24))=0</formula>
    </cfRule>
  </conditionalFormatting>
  <conditionalFormatting sqref="N28:T29">
    <cfRule type="containsBlanks" dxfId="220" priority="1">
      <formula>LEN(TRIM(N28))=0</formula>
    </cfRule>
  </conditionalFormatting>
  <conditionalFormatting sqref="Q32:T32">
    <cfRule type="containsBlanks" dxfId="219" priority="12">
      <formula>LEN(TRIM(Q32))=0</formula>
    </cfRule>
  </conditionalFormatting>
  <conditionalFormatting sqref="Q157:T157">
    <cfRule type="containsBlanks" dxfId="218" priority="19">
      <formula>LEN(TRIM(Q157))=0</formula>
    </cfRule>
  </conditionalFormatting>
  <dataValidations count="9">
    <dataValidation type="list" allowBlank="1" showInputMessage="1" showErrorMessage="1" sqref="M74:O84 S37:S38 G33:H34 J33:J34 I38 I33:I36" xr:uid="{8776DB5B-6927-42F1-92D1-FED923D7B01D}">
      <formula1>"SIM,NÃO"</formula1>
    </dataValidation>
    <dataValidation type="list" allowBlank="1" showInputMessage="1" showErrorMessage="1" sqref="G11" xr:uid="{8D4EABF6-CDAF-41F0-85C6-2AE8C853F684}">
      <formula1>"PROGRAMADA,EMERGENCIAL"</formula1>
    </dataValidation>
    <dataValidation type="list" allowBlank="1" showInputMessage="1" showErrorMessage="1" sqref="I50:K56" xr:uid="{F9E98EB2-BC2D-4940-9965-9434A842A9DF}">
      <formula1>"ALTA,MÉDIA,BAIXA"</formula1>
    </dataValidation>
    <dataValidation type="list" allowBlank="1" showInputMessage="1" showErrorMessage="1" sqref="L50:M56" xr:uid="{299F24B6-0CAE-419B-809E-75FC91E256F0}">
      <formula1>"ALTO,MÉDIO,BAIXO"</formula1>
    </dataValidation>
    <dataValidation type="list" allowBlank="1" showInputMessage="1" showErrorMessage="1" sqref="M62:O70" xr:uid="{D5BAC813-2508-49A5-9CAB-17D5605D5D75}">
      <formula1>"NECESSÁRIO,OBRIGATÓRIO"</formula1>
    </dataValidation>
    <dataValidation type="list" allowBlank="1" showInputMessage="1" showErrorMessage="1" sqref="Q157:T157" xr:uid="{E8FEA7F9-1053-419C-9768-50AA2FA71700}">
      <formula1>"APROVADO,REPROVADO"</formula1>
    </dataValidation>
    <dataValidation type="list" allowBlank="1" showInputMessage="1" showErrorMessage="1" sqref="G32:J32" xr:uid="{B3688558-2377-4345-8D1E-A99925966B78}">
      <formula1>"PRODUÇÃO,HOMOLOGAÇÃO,TESTES,TREINAMENTO,DESENVOLVIMENTO"</formula1>
    </dataValidation>
    <dataValidation type="list" allowBlank="1" showInputMessage="1" showErrorMessage="1" sqref="Q32:T32" xr:uid="{2FF8E9EC-A8AE-48F6-8931-B2E9C01F95A4}">
      <formula1>"WINDOWS,LINUX,WINDOWS &amp; LINUX"</formula1>
    </dataValidation>
    <dataValidation type="list" allowBlank="1" showInputMessage="1" showErrorMessage="1" sqref="B157:G157" xr:uid="{5DCC551C-92FC-4D83-A7DF-1D0A19E3DE9C}">
      <formula1>"Wilson Kempim Jr."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5220E04A-DA5A-4F28-8869-353A9B487F2B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5" operator="containsText" id="{8C98BF2D-2795-4D83-8775-186B6C29AAED}">
            <xm:f>NOT(ISERROR(SEARCH("Risco de perda de dados sem o flashback!",L39)))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56D7C3-C735-45CD-A218-0D24B74F215D}">
          <x14:formula1>
            <xm:f>#REF!</xm:f>
          </x14:formula1>
          <xm:sqref>D28:J28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138D-64AF-4CB9-8FB2-2DC665AD35C3}">
  <dimension ref="B4:T157"/>
  <sheetViews>
    <sheetView topLeftCell="A6" workbookViewId="0">
      <selection activeCell="Y61" sqref="Y61"/>
    </sheetView>
  </sheetViews>
  <sheetFormatPr defaultColWidth="8.88671875" defaultRowHeight="14.4" x14ac:dyDescent="0.3"/>
  <cols>
    <col min="1" max="1" width="1.6640625" customWidth="1"/>
    <col min="2" max="11" width="5.109375" customWidth="1"/>
    <col min="12" max="12" width="6.6640625" customWidth="1"/>
    <col min="13" max="20" width="5.109375" customWidth="1"/>
    <col min="21" max="22" width="1.6640625" customWidth="1"/>
    <col min="27" max="27" width="12.109375" bestFit="1" customWidth="1"/>
    <col min="28" max="28" width="107.6640625" bestFit="1" customWidth="1"/>
  </cols>
  <sheetData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6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 t="s">
        <v>213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4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x14ac:dyDescent="0.3">
      <c r="B33" s="48" t="s">
        <v>29</v>
      </c>
      <c r="C33" s="49"/>
      <c r="D33" s="49"/>
      <c r="E33" s="49"/>
      <c r="F33" s="49"/>
      <c r="G33" s="43" t="s">
        <v>30</v>
      </c>
      <c r="H33" s="43"/>
      <c r="I33" s="43"/>
      <c r="J33" s="43"/>
      <c r="L33" s="52" t="str" cm="1">
        <f t="array" ref="L33">_xlfn.IFS(
AND(G32&lt;&gt;"PRODUÇÃO",G33="NÃO"),"ALERTA: Risco de perda de dados sem o backup!",
AND(G32="PRODUÇÃO",G33="NÃO"),"ABORTAR GMUD!!!",
G33="SIM","Print de evidência do backup na página de anexos.",
G33="",""
)</f>
        <v>Print de evidência do backup na página de anexos.</v>
      </c>
      <c r="M33" s="52"/>
      <c r="N33" s="52"/>
      <c r="O33" s="52"/>
      <c r="P33" s="52"/>
      <c r="Q33" s="52"/>
      <c r="R33" s="52"/>
      <c r="S33" s="52"/>
      <c r="T33" s="52"/>
    </row>
    <row r="34" spans="2:20" x14ac:dyDescent="0.3">
      <c r="B34" s="22" t="s">
        <v>31</v>
      </c>
      <c r="C34" s="23"/>
      <c r="D34" s="23"/>
      <c r="E34" s="23"/>
      <c r="F34" s="23"/>
      <c r="G34" s="22"/>
      <c r="H34" s="23"/>
      <c r="I34" s="23"/>
      <c r="J34" s="23"/>
    </row>
    <row r="35" spans="2:20" x14ac:dyDescent="0.3">
      <c r="B35" s="59" t="s">
        <v>32</v>
      </c>
      <c r="C35" s="60"/>
      <c r="D35" s="60"/>
      <c r="E35" s="60"/>
      <c r="F35" s="60"/>
      <c r="G35" s="60"/>
      <c r="H35" s="60"/>
      <c r="I35" s="43" t="s">
        <v>30</v>
      </c>
      <c r="J35" s="43"/>
      <c r="L35" s="52" t="str" cm="1">
        <f t="array" ref="L35">_xlfn.IFS(
I35="NÃO","ALERTA: necessário ter acesso à console Appmgr!",
I35="SIM","",
I35="",""
)</f>
        <v/>
      </c>
      <c r="M35" s="52"/>
      <c r="N35" s="52"/>
      <c r="O35" s="52"/>
      <c r="P35" s="52"/>
      <c r="Q35" s="52"/>
      <c r="R35" s="52"/>
      <c r="S35" s="52"/>
      <c r="T35" s="52"/>
    </row>
    <row r="36" spans="2:20" x14ac:dyDescent="0.3">
      <c r="B36" s="61" t="s">
        <v>34</v>
      </c>
      <c r="C36" s="62"/>
      <c r="D36" s="62"/>
      <c r="E36" s="62"/>
      <c r="F36" s="62"/>
      <c r="G36" s="62"/>
      <c r="H36" s="62"/>
      <c r="I36" s="43" t="s">
        <v>33</v>
      </c>
      <c r="J36" s="43"/>
      <c r="L36" s="52" t="str" cm="1">
        <f t="array" ref="L36">_xlfn.IFS(
I36="NÃO","",
I36="SIM","ALERTA: Evidenciar configurações dos hosts",
I36="",""
)</f>
        <v/>
      </c>
      <c r="M36" s="52"/>
      <c r="N36" s="52"/>
      <c r="O36" s="52"/>
      <c r="P36" s="52"/>
      <c r="Q36" s="52"/>
      <c r="R36" s="52"/>
      <c r="S36" s="52"/>
      <c r="T36" s="52"/>
    </row>
    <row r="37" spans="2:20" ht="15" customHeight="1" x14ac:dyDescent="0.3"/>
    <row r="39" spans="2:20" ht="18" x14ac:dyDescent="0.35">
      <c r="B39" s="1" t="s">
        <v>35</v>
      </c>
      <c r="C39" s="13"/>
      <c r="D39" s="13"/>
      <c r="E39" s="13"/>
      <c r="F39" s="13"/>
      <c r="L39" s="14"/>
      <c r="M39" s="14"/>
      <c r="N39" s="14"/>
      <c r="O39" s="14"/>
      <c r="P39" s="14"/>
      <c r="Q39" s="14"/>
      <c r="R39" s="14"/>
      <c r="S39" s="14"/>
      <c r="T39" s="14"/>
    </row>
    <row r="40" spans="2:20" x14ac:dyDescent="0.3">
      <c r="B40" s="54" t="str">
        <f>IF(
OR(L33="Print de evidência do backup na página de anexos.",L33="ALERTA: Risco de perda de dados sem o backup!"),"Data de ínicio:",""
)</f>
        <v>Data de ínicio:</v>
      </c>
      <c r="C40" s="54"/>
      <c r="D40" s="54"/>
      <c r="E40" s="54"/>
      <c r="F40" s="54"/>
      <c r="G40" s="54"/>
      <c r="H40" s="54"/>
      <c r="I40" s="54"/>
      <c r="J40" s="54"/>
      <c r="K40" s="54"/>
      <c r="L40" s="55" t="s">
        <v>36</v>
      </c>
      <c r="M40" s="55"/>
      <c r="N40" s="55"/>
      <c r="O40" s="55"/>
      <c r="P40" s="55"/>
      <c r="Q40" s="55"/>
      <c r="R40" s="55"/>
      <c r="S40" s="55"/>
      <c r="T40" s="55"/>
    </row>
    <row r="41" spans="2:20" x14ac:dyDescent="0.3">
      <c r="B41" s="54" t="str">
        <f>IF(
OR(L33="Print de evidência do backup na página de anexos.",L33="ALERTA: Risco de perda de dados sem o backup!"),"Hora de ínicio:",""
)</f>
        <v>Hora de ínicio:</v>
      </c>
      <c r="C41" s="54"/>
      <c r="D41" s="54"/>
      <c r="E41" s="54"/>
      <c r="F41" s="54"/>
      <c r="G41" s="54"/>
      <c r="H41" s="54"/>
      <c r="I41" s="54"/>
      <c r="J41" s="54"/>
      <c r="K41" s="54"/>
      <c r="L41" s="56">
        <v>0.5625</v>
      </c>
      <c r="M41" s="56"/>
      <c r="N41" s="56"/>
      <c r="O41" s="56"/>
      <c r="P41" s="56"/>
      <c r="Q41" s="56"/>
      <c r="R41" s="56"/>
      <c r="S41" s="56"/>
      <c r="T41" s="56"/>
    </row>
    <row r="42" spans="2:20" x14ac:dyDescent="0.3">
      <c r="B42" s="54" t="str">
        <f>IF(L41&lt;&gt;"","Tempo total de execução:","")</f>
        <v>Tempo total de execução:</v>
      </c>
      <c r="C42" s="54"/>
      <c r="D42" s="54"/>
      <c r="E42" s="54"/>
      <c r="F42" s="54"/>
      <c r="G42" s="54"/>
      <c r="H42" s="54"/>
      <c r="I42" s="54"/>
      <c r="J42" s="54"/>
      <c r="K42" s="54"/>
      <c r="L42" s="57">
        <v>8.3333333333333329E-2</v>
      </c>
      <c r="M42" s="58"/>
      <c r="N42" s="58"/>
      <c r="O42" s="58"/>
      <c r="P42" s="58"/>
      <c r="Q42" s="58"/>
      <c r="R42" s="58"/>
      <c r="S42" s="58"/>
      <c r="T42" s="58"/>
    </row>
    <row r="43" spans="2:20" x14ac:dyDescent="0.3">
      <c r="B43" s="54" t="str">
        <f>IF(L42&lt;&gt;"","Tempo total de paralização:","")</f>
        <v>Tempo total de paralização:</v>
      </c>
      <c r="C43" s="54"/>
      <c r="D43" s="54"/>
      <c r="E43" s="54"/>
      <c r="F43" s="54"/>
      <c r="G43" s="54"/>
      <c r="H43" s="54"/>
      <c r="I43" s="54"/>
      <c r="J43" s="54"/>
      <c r="K43" s="54"/>
      <c r="L43" s="63">
        <v>6.25E-2</v>
      </c>
      <c r="M43" s="64"/>
      <c r="N43" s="64"/>
      <c r="O43" s="64"/>
      <c r="P43" s="64"/>
      <c r="Q43" s="64"/>
      <c r="R43" s="64"/>
      <c r="S43" s="64"/>
      <c r="T43" s="65"/>
    </row>
    <row r="44" spans="2:20" x14ac:dyDescent="0.3">
      <c r="B44" s="54" t="str">
        <f>IF(L43&lt;&gt;"","Tempo total para testes","")</f>
        <v>Tempo total para testes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4.1666666666666664E-2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54" t="str">
        <f>IF(L44&lt;&gt;"","Tempo total para tentativa de correções:","")</f>
        <v>Tempo total para tentativa de correções: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8.3333333333333329E-2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plano de volta:","")</f>
        <v>Tempo total para plano de volta: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8.3333333333333329E-2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66"/>
      <c r="C47" s="67"/>
      <c r="D47" s="67"/>
      <c r="E47" s="68"/>
      <c r="F47" s="69"/>
      <c r="G47" s="70"/>
      <c r="H47" s="70"/>
      <c r="I47" s="70"/>
      <c r="J47" s="71"/>
    </row>
    <row r="48" spans="2:20" ht="18" x14ac:dyDescent="0.35">
      <c r="B48" s="4" t="s">
        <v>37</v>
      </c>
      <c r="C48" s="7"/>
      <c r="D48" s="7"/>
      <c r="E48" s="8"/>
      <c r="F48" s="9"/>
      <c r="G48" s="10"/>
      <c r="H48" s="10"/>
      <c r="I48" s="10"/>
      <c r="J48" s="11"/>
    </row>
    <row r="49" spans="2:20" s="19" customFormat="1" x14ac:dyDescent="0.3">
      <c r="B49" s="72" t="s">
        <v>38</v>
      </c>
      <c r="C49" s="72"/>
      <c r="D49" s="72"/>
      <c r="E49" s="72"/>
      <c r="F49" s="72"/>
      <c r="G49" s="72"/>
      <c r="H49" s="72"/>
      <c r="I49" s="73" t="s">
        <v>39</v>
      </c>
      <c r="J49" s="73"/>
      <c r="K49" s="73"/>
      <c r="L49" s="73" t="s">
        <v>40</v>
      </c>
      <c r="M49" s="73"/>
      <c r="N49" s="72" t="s">
        <v>41</v>
      </c>
      <c r="O49" s="72"/>
      <c r="P49" s="72"/>
      <c r="Q49" s="72"/>
      <c r="R49" s="72"/>
      <c r="S49" s="72"/>
      <c r="T49" s="72"/>
    </row>
    <row r="50" spans="2:20" s="19" customFormat="1" ht="15" customHeight="1" x14ac:dyDescent="0.3">
      <c r="B50" s="74" t="s">
        <v>42</v>
      </c>
      <c r="C50" s="74"/>
      <c r="D50" s="74"/>
      <c r="E50" s="74"/>
      <c r="F50" s="74"/>
      <c r="G50" s="74"/>
      <c r="H50" s="74"/>
      <c r="I50" s="75" t="s">
        <v>43</v>
      </c>
      <c r="J50" s="75"/>
      <c r="K50" s="75"/>
      <c r="L50" s="75" t="s">
        <v>44</v>
      </c>
      <c r="M50" s="75"/>
      <c r="N50" s="74" t="s">
        <v>45</v>
      </c>
      <c r="O50" s="74"/>
      <c r="P50" s="74"/>
      <c r="Q50" s="74"/>
      <c r="R50" s="74"/>
      <c r="S50" s="74"/>
      <c r="T50" s="74"/>
    </row>
    <row r="51" spans="2:20" s="19" customFormat="1" x14ac:dyDescent="0.3">
      <c r="B51" s="74"/>
      <c r="C51" s="74"/>
      <c r="D51" s="74"/>
      <c r="E51" s="74"/>
      <c r="F51" s="74"/>
      <c r="G51" s="74"/>
      <c r="H51" s="74"/>
      <c r="I51" s="75"/>
      <c r="J51" s="75"/>
      <c r="K51" s="75"/>
      <c r="L51" s="75"/>
      <c r="M51" s="75"/>
      <c r="N51" s="74"/>
      <c r="O51" s="74"/>
      <c r="P51" s="74"/>
      <c r="Q51" s="74"/>
      <c r="R51" s="74"/>
      <c r="S51" s="74"/>
      <c r="T51" s="74"/>
    </row>
    <row r="52" spans="2:20" s="19" customFormat="1" x14ac:dyDescent="0.3">
      <c r="B52" s="74"/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4"/>
      <c r="O52" s="74"/>
      <c r="P52" s="74"/>
      <c r="Q52" s="74"/>
      <c r="R52" s="74"/>
      <c r="S52" s="74"/>
      <c r="T52" s="74"/>
    </row>
    <row r="53" spans="2:20" s="19" customFormat="1" x14ac:dyDescent="0.3">
      <c r="B53" s="74"/>
      <c r="C53" s="74"/>
      <c r="D53" s="74"/>
      <c r="E53" s="74"/>
      <c r="F53" s="74"/>
      <c r="G53" s="74"/>
      <c r="H53" s="74"/>
      <c r="I53" s="75"/>
      <c r="J53" s="75"/>
      <c r="K53" s="75"/>
      <c r="L53" s="75"/>
      <c r="M53" s="75"/>
      <c r="N53" s="74"/>
      <c r="O53" s="74"/>
      <c r="P53" s="74"/>
      <c r="Q53" s="74"/>
      <c r="R53" s="74"/>
      <c r="S53" s="74"/>
      <c r="T53" s="74"/>
    </row>
    <row r="54" spans="2:20" s="19" customFormat="1" x14ac:dyDescent="0.3">
      <c r="B54" s="74"/>
      <c r="C54" s="74"/>
      <c r="D54" s="74"/>
      <c r="E54" s="74"/>
      <c r="F54" s="74"/>
      <c r="G54" s="74"/>
      <c r="H54" s="74"/>
      <c r="I54" s="75"/>
      <c r="J54" s="75"/>
      <c r="K54" s="75"/>
      <c r="L54" s="75"/>
      <c r="M54" s="75"/>
      <c r="N54" s="74"/>
      <c r="O54" s="74"/>
      <c r="P54" s="74"/>
      <c r="Q54" s="74"/>
      <c r="R54" s="74"/>
      <c r="S54" s="74"/>
      <c r="T54" s="74"/>
    </row>
    <row r="55" spans="2:20" s="19" customFormat="1" x14ac:dyDescent="0.3">
      <c r="B55" s="74"/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4"/>
      <c r="O55" s="74"/>
      <c r="P55" s="74"/>
      <c r="Q55" s="74"/>
      <c r="R55" s="74"/>
      <c r="S55" s="74"/>
      <c r="T55" s="74"/>
    </row>
    <row r="56" spans="2:20" s="19" customFormat="1" x14ac:dyDescent="0.3">
      <c r="B56" s="74"/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4"/>
      <c r="O56" s="74"/>
      <c r="P56" s="74"/>
      <c r="Q56" s="74"/>
      <c r="R56" s="74"/>
      <c r="S56" s="74"/>
      <c r="T56" s="74"/>
    </row>
    <row r="60" spans="2:20" ht="18" x14ac:dyDescent="0.35">
      <c r="B60" s="4" t="s">
        <v>46</v>
      </c>
    </row>
    <row r="61" spans="2:20" s="19" customFormat="1" x14ac:dyDescent="0.3">
      <c r="B61" s="72" t="s">
        <v>47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3" t="s">
        <v>48</v>
      </c>
      <c r="N61" s="73"/>
      <c r="O61" s="73"/>
      <c r="P61" s="73" t="s">
        <v>49</v>
      </c>
      <c r="Q61" s="73"/>
      <c r="R61" s="73"/>
      <c r="S61" s="73"/>
      <c r="T61" s="73"/>
    </row>
    <row r="62" spans="2:20" s="19" customFormat="1" x14ac:dyDescent="0.3">
      <c r="B62" s="76" t="s">
        <v>214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7" t="s">
        <v>51</v>
      </c>
      <c r="N62" s="77"/>
      <c r="O62" s="77"/>
      <c r="P62" s="77" t="str">
        <f>$D$28</f>
        <v>Murilo Moraes</v>
      </c>
      <c r="Q62" s="77"/>
      <c r="R62" s="77"/>
      <c r="S62" s="77"/>
      <c r="T62" s="77"/>
    </row>
    <row r="63" spans="2:20" s="19" customFormat="1" ht="15" customHeight="1" x14ac:dyDescent="0.3">
      <c r="B63" s="76" t="s">
        <v>215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7" t="s">
        <v>51</v>
      </c>
      <c r="N63" s="77"/>
      <c r="O63" s="77"/>
      <c r="P63" s="77">
        <f>$D$24</f>
        <v>0</v>
      </c>
      <c r="Q63" s="77"/>
      <c r="R63" s="77"/>
      <c r="S63" s="77"/>
      <c r="T63" s="77"/>
    </row>
    <row r="64" spans="2:20" s="19" customFormat="1" x14ac:dyDescent="0.3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7"/>
      <c r="N64" s="77"/>
      <c r="O64" s="77"/>
      <c r="P64" s="77"/>
      <c r="Q64" s="77"/>
      <c r="R64" s="77"/>
      <c r="S64" s="77"/>
      <c r="T64" s="77"/>
    </row>
    <row r="65" spans="2:20" s="19" customFormat="1" x14ac:dyDescent="0.3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7"/>
      <c r="N65" s="77"/>
      <c r="O65" s="77"/>
      <c r="P65" s="77"/>
      <c r="Q65" s="77"/>
      <c r="R65" s="77"/>
      <c r="S65" s="77"/>
      <c r="T65" s="77"/>
    </row>
    <row r="66" spans="2:20" x14ac:dyDescent="0.3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7"/>
      <c r="N66" s="77"/>
      <c r="O66" s="77"/>
      <c r="P66" s="78"/>
      <c r="Q66" s="78"/>
      <c r="R66" s="78"/>
      <c r="S66" s="78"/>
      <c r="T66" s="78"/>
    </row>
    <row r="67" spans="2:20" x14ac:dyDescent="0.3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7"/>
      <c r="N67" s="77"/>
      <c r="O67" s="77"/>
      <c r="P67" s="78"/>
      <c r="Q67" s="78"/>
      <c r="R67" s="78"/>
      <c r="S67" s="78"/>
      <c r="T67" s="78"/>
    </row>
    <row r="68" spans="2:20" x14ac:dyDescent="0.3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7"/>
      <c r="N68" s="77"/>
      <c r="O68" s="77"/>
      <c r="P68" s="78"/>
      <c r="Q68" s="78"/>
      <c r="R68" s="78"/>
      <c r="S68" s="78"/>
      <c r="T68" s="78"/>
    </row>
    <row r="69" spans="2:20" x14ac:dyDescent="0.3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7"/>
      <c r="N69" s="77"/>
      <c r="O69" s="77"/>
      <c r="P69" s="78"/>
      <c r="Q69" s="78"/>
      <c r="R69" s="78"/>
      <c r="S69" s="78"/>
      <c r="T69" s="78"/>
    </row>
    <row r="71" spans="2:20" ht="18" x14ac:dyDescent="0.35">
      <c r="B71" s="4" t="s">
        <v>54</v>
      </c>
    </row>
    <row r="72" spans="2:20" ht="15" customHeight="1" x14ac:dyDescent="0.3">
      <c r="B72" s="83" t="s">
        <v>55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2:20" x14ac:dyDescent="0.3">
      <c r="B73" s="84" t="s">
        <v>47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5" t="s">
        <v>56</v>
      </c>
      <c r="N73" s="85"/>
      <c r="O73" s="85"/>
      <c r="P73" s="86" t="s">
        <v>49</v>
      </c>
      <c r="Q73" s="87"/>
      <c r="R73" s="87"/>
      <c r="S73" s="87"/>
      <c r="T73" s="88"/>
    </row>
    <row r="74" spans="2:20" s="19" customFormat="1" ht="15" customHeight="1" x14ac:dyDescent="0.3">
      <c r="B74" s="89" t="s">
        <v>216</v>
      </c>
      <c r="C74" s="90"/>
      <c r="D74" s="90"/>
      <c r="E74" s="90"/>
      <c r="F74" s="90"/>
      <c r="G74" s="90"/>
      <c r="H74" s="90"/>
      <c r="I74" s="90"/>
      <c r="J74" s="90"/>
      <c r="K74" s="90"/>
      <c r="L74" s="91"/>
      <c r="M74" s="79" t="s">
        <v>30</v>
      </c>
      <c r="N74" s="79"/>
      <c r="O74" s="79"/>
      <c r="P74" s="92" t="str">
        <f>D28</f>
        <v>Murilo Moraes</v>
      </c>
      <c r="Q74" s="93"/>
      <c r="R74" s="93"/>
      <c r="S74" s="93"/>
      <c r="T74" s="94"/>
    </row>
    <row r="75" spans="2:20" s="15" customFormat="1" x14ac:dyDescent="0.3">
      <c r="B75" s="74" t="s">
        <v>217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9" t="s">
        <v>30</v>
      </c>
      <c r="N75" s="79"/>
      <c r="O75" s="79"/>
      <c r="P75" s="80" t="str">
        <f>D28</f>
        <v>Murilo Moraes</v>
      </c>
      <c r="Q75" s="81"/>
      <c r="R75" s="81"/>
      <c r="S75" s="81"/>
      <c r="T75" s="82"/>
    </row>
    <row r="76" spans="2:20" s="15" customFormat="1" x14ac:dyDescent="0.3">
      <c r="B76" s="74" t="s">
        <v>218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9" t="s">
        <v>30</v>
      </c>
      <c r="N76" s="79"/>
      <c r="O76" s="79"/>
      <c r="P76" s="80" t="str">
        <f>D28</f>
        <v>Murilo Moraes</v>
      </c>
      <c r="Q76" s="81"/>
      <c r="R76" s="81"/>
      <c r="S76" s="81"/>
      <c r="T76" s="82"/>
    </row>
    <row r="77" spans="2:20" s="15" customFormat="1" x14ac:dyDescent="0.3">
      <c r="B77" s="74" t="s">
        <v>219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9" t="s">
        <v>30</v>
      </c>
      <c r="N77" s="79"/>
      <c r="O77" s="79"/>
      <c r="P77" s="80" t="str">
        <f t="shared" ref="P77" si="0">D28</f>
        <v>Murilo Moraes</v>
      </c>
      <c r="Q77" s="81"/>
      <c r="R77" s="81"/>
      <c r="S77" s="81"/>
      <c r="T77" s="82"/>
    </row>
    <row r="78" spans="2:20" s="19" customFormat="1" x14ac:dyDescent="0.3">
      <c r="B78" s="76" t="s">
        <v>215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9" t="s">
        <v>30</v>
      </c>
      <c r="N78" s="79"/>
      <c r="O78" s="79"/>
      <c r="P78" s="92">
        <f>$D$24</f>
        <v>0</v>
      </c>
      <c r="Q78" s="93"/>
      <c r="R78" s="93"/>
      <c r="S78" s="93"/>
      <c r="T78" s="94"/>
    </row>
    <row r="79" spans="2:20" s="19" customFormat="1" x14ac:dyDescent="0.3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/>
      <c r="N79" s="79"/>
      <c r="O79" s="79"/>
      <c r="P79" s="92"/>
      <c r="Q79" s="93"/>
      <c r="R79" s="93"/>
      <c r="S79" s="93"/>
      <c r="T79" s="94"/>
    </row>
    <row r="80" spans="2:20" s="19" customFormat="1" x14ac:dyDescent="0.3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9"/>
      <c r="N80" s="79"/>
      <c r="O80" s="79"/>
      <c r="P80" s="92"/>
      <c r="Q80" s="93"/>
      <c r="R80" s="93"/>
      <c r="S80" s="93"/>
      <c r="T80" s="94"/>
    </row>
    <row r="81" spans="2:20" s="19" customFormat="1" x14ac:dyDescent="0.3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9"/>
      <c r="N81" s="79"/>
      <c r="O81" s="79"/>
      <c r="P81" s="92"/>
      <c r="Q81" s="93"/>
      <c r="R81" s="93"/>
      <c r="S81" s="93"/>
      <c r="T81" s="94"/>
    </row>
    <row r="82" spans="2:20" s="19" customFormat="1" x14ac:dyDescent="0.3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/>
      <c r="N82" s="79"/>
      <c r="O82" s="79"/>
      <c r="P82" s="92"/>
      <c r="Q82" s="93"/>
      <c r="R82" s="93"/>
      <c r="S82" s="93"/>
      <c r="T82" s="94"/>
    </row>
    <row r="83" spans="2:20" s="19" customFormat="1" x14ac:dyDescent="0.3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9"/>
      <c r="N83" s="79"/>
      <c r="O83" s="79"/>
      <c r="P83" s="92"/>
      <c r="Q83" s="93"/>
      <c r="R83" s="93"/>
      <c r="S83" s="93"/>
      <c r="T83" s="94"/>
    </row>
    <row r="84" spans="2:20" s="19" customFormat="1" x14ac:dyDescent="0.3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/>
      <c r="N84" s="79"/>
      <c r="O84" s="79"/>
      <c r="P84" s="92"/>
      <c r="Q84" s="93"/>
      <c r="R84" s="93"/>
      <c r="S84" s="93"/>
      <c r="T84" s="94"/>
    </row>
    <row r="86" spans="2:20" ht="18" x14ac:dyDescent="0.35">
      <c r="B86" s="4" t="s">
        <v>57</v>
      </c>
    </row>
    <row r="87" spans="2:20" x14ac:dyDescent="0.3">
      <c r="B87" s="83" t="s">
        <v>58</v>
      </c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2:20" x14ac:dyDescent="0.3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</row>
    <row r="89" spans="2:20" x14ac:dyDescent="0.3">
      <c r="B89" s="84" t="s">
        <v>47</v>
      </c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97" t="s">
        <v>59</v>
      </c>
      <c r="N89" s="97"/>
      <c r="O89" s="97"/>
      <c r="P89" s="86" t="s">
        <v>49</v>
      </c>
      <c r="Q89" s="87"/>
      <c r="R89" s="87"/>
      <c r="S89" s="87"/>
      <c r="T89" s="88"/>
    </row>
    <row r="90" spans="2:20" s="12" customFormat="1" ht="15" customHeight="1" x14ac:dyDescent="0.3">
      <c r="B90" s="74" t="s">
        <v>220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99">
        <v>4.1666666666666664E-2</v>
      </c>
      <c r="N90" s="77"/>
      <c r="O90" s="77"/>
      <c r="P90" s="92" t="str">
        <f>$D$28</f>
        <v>Murilo Moraes</v>
      </c>
      <c r="Q90" s="93"/>
      <c r="R90" s="93"/>
      <c r="S90" s="93"/>
      <c r="T90" s="94"/>
    </row>
    <row r="91" spans="2:20" s="12" customFormat="1" ht="13.8" x14ac:dyDescent="0.3">
      <c r="B91" s="100"/>
      <c r="C91" s="101"/>
      <c r="D91" s="101"/>
      <c r="E91" s="101"/>
      <c r="F91" s="101"/>
      <c r="G91" s="101"/>
      <c r="H91" s="101"/>
      <c r="I91" s="101"/>
      <c r="J91" s="101"/>
      <c r="K91" s="101"/>
      <c r="L91" s="102"/>
      <c r="M91" s="99"/>
      <c r="N91" s="77"/>
      <c r="O91" s="77"/>
      <c r="P91" s="92"/>
      <c r="Q91" s="93"/>
      <c r="R91" s="93"/>
      <c r="S91" s="93"/>
      <c r="T91" s="94"/>
    </row>
    <row r="92" spans="2:20" s="12" customFormat="1" ht="13.8" x14ac:dyDescent="0.3"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99"/>
      <c r="N92" s="77"/>
      <c r="O92" s="77"/>
      <c r="P92" s="92"/>
      <c r="Q92" s="93"/>
      <c r="R92" s="93"/>
      <c r="S92" s="93"/>
      <c r="T92" s="94"/>
    </row>
    <row r="93" spans="2:20" s="12" customFormat="1" ht="13.8" x14ac:dyDescent="0.3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99"/>
      <c r="N93" s="77"/>
      <c r="O93" s="77"/>
      <c r="P93" s="92"/>
      <c r="Q93" s="93"/>
      <c r="R93" s="93"/>
      <c r="S93" s="93"/>
      <c r="T93" s="94"/>
    </row>
    <row r="94" spans="2:20" s="12" customFormat="1" ht="13.8" x14ac:dyDescent="0.3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99"/>
      <c r="N94" s="77"/>
      <c r="O94" s="77"/>
      <c r="P94" s="92"/>
      <c r="Q94" s="93"/>
      <c r="R94" s="93"/>
      <c r="S94" s="93"/>
      <c r="T94" s="94"/>
    </row>
    <row r="95" spans="2:20" s="12" customFormat="1" ht="15" customHeight="1" x14ac:dyDescent="0.3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7"/>
      <c r="N95" s="77"/>
      <c r="O95" s="77"/>
      <c r="P95" s="92"/>
      <c r="Q95" s="93"/>
      <c r="R95" s="93"/>
      <c r="S95" s="93"/>
      <c r="T95" s="94"/>
    </row>
    <row r="96" spans="2:20" s="12" customFormat="1" ht="15" customHeight="1" x14ac:dyDescent="0.3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7"/>
      <c r="N96" s="77"/>
      <c r="O96" s="77"/>
      <c r="P96" s="92"/>
      <c r="Q96" s="93"/>
      <c r="R96" s="93"/>
      <c r="S96" s="93"/>
      <c r="T96" s="94"/>
    </row>
    <row r="97" spans="2:20" s="12" customFormat="1" ht="15" customHeight="1" x14ac:dyDescent="0.35">
      <c r="B97" s="4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2:20" ht="18" x14ac:dyDescent="0.35">
      <c r="B98" s="4" t="s">
        <v>61</v>
      </c>
    </row>
    <row r="99" spans="2:20" ht="15" customHeight="1" x14ac:dyDescent="0.3">
      <c r="B99" s="96" t="s">
        <v>62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</row>
    <row r="100" spans="2:20" x14ac:dyDescent="0.3">
      <c r="B100" s="84" t="s">
        <v>47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97" t="s">
        <v>59</v>
      </c>
      <c r="N100" s="97"/>
      <c r="O100" s="97"/>
      <c r="P100" s="86" t="s">
        <v>49</v>
      </c>
      <c r="Q100" s="87"/>
      <c r="R100" s="87"/>
      <c r="S100" s="87"/>
      <c r="T100" s="88"/>
    </row>
    <row r="101" spans="2:20" x14ac:dyDescent="0.3">
      <c r="B101" s="74" t="s">
        <v>221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99">
        <v>3.125E-2</v>
      </c>
      <c r="N101" s="77"/>
      <c r="O101" s="77"/>
      <c r="P101" s="92" t="str">
        <f t="shared" ref="P101:P103" si="1">$D$28</f>
        <v>Murilo Moraes</v>
      </c>
      <c r="Q101" s="93"/>
      <c r="R101" s="93"/>
      <c r="S101" s="93"/>
      <c r="T101" s="94"/>
    </row>
    <row r="102" spans="2:20" s="12" customFormat="1" ht="15" customHeight="1" x14ac:dyDescent="0.3">
      <c r="B102" s="100" t="s">
        <v>222</v>
      </c>
      <c r="C102" s="101"/>
      <c r="D102" s="101"/>
      <c r="E102" s="101"/>
      <c r="F102" s="101"/>
      <c r="G102" s="101"/>
      <c r="H102" s="101"/>
      <c r="I102" s="101"/>
      <c r="J102" s="101"/>
      <c r="K102" s="101"/>
      <c r="L102" s="102"/>
      <c r="M102" s="99">
        <v>3.125E-2</v>
      </c>
      <c r="N102" s="77"/>
      <c r="O102" s="77"/>
      <c r="P102" s="92" t="str">
        <f t="shared" si="1"/>
        <v>Murilo Moraes</v>
      </c>
      <c r="Q102" s="93"/>
      <c r="R102" s="93"/>
      <c r="S102" s="93"/>
      <c r="T102" s="94"/>
    </row>
    <row r="103" spans="2:20" s="12" customFormat="1" ht="13.8" x14ac:dyDescent="0.3">
      <c r="B103" s="74" t="s">
        <v>223</v>
      </c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99">
        <v>2.0833333333333332E-2</v>
      </c>
      <c r="N103" s="77"/>
      <c r="O103" s="77"/>
      <c r="P103" s="92" t="str">
        <f t="shared" si="1"/>
        <v>Murilo Moraes</v>
      </c>
      <c r="Q103" s="93"/>
      <c r="R103" s="93"/>
      <c r="S103" s="93"/>
      <c r="T103" s="94"/>
    </row>
    <row r="104" spans="2:20" s="12" customFormat="1" ht="13.8" x14ac:dyDescent="0.3"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9"/>
      <c r="N104" s="77"/>
      <c r="O104" s="77"/>
      <c r="P104" s="92"/>
      <c r="Q104" s="93"/>
      <c r="R104" s="93"/>
      <c r="S104" s="93"/>
      <c r="T104" s="94"/>
    </row>
    <row r="105" spans="2:20" s="12" customFormat="1" ht="13.8" x14ac:dyDescent="0.3"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99"/>
      <c r="N105" s="77"/>
      <c r="O105" s="77"/>
      <c r="P105" s="92"/>
      <c r="Q105" s="93"/>
      <c r="R105" s="93"/>
      <c r="S105" s="93"/>
      <c r="T105" s="94"/>
    </row>
    <row r="106" spans="2:20" s="12" customFormat="1" ht="13.8" x14ac:dyDescent="0.3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9"/>
      <c r="N106" s="77"/>
      <c r="O106" s="77"/>
      <c r="P106" s="92"/>
      <c r="Q106" s="93"/>
      <c r="R106" s="93"/>
      <c r="S106" s="93"/>
      <c r="T106" s="94"/>
    </row>
    <row r="107" spans="2:20" s="12" customFormat="1" ht="13.8" x14ac:dyDescent="0.3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/>
      <c r="N107" s="77"/>
      <c r="O107" s="77"/>
      <c r="P107" s="92"/>
      <c r="Q107" s="93"/>
      <c r="R107" s="93"/>
      <c r="S107" s="93"/>
      <c r="T107" s="94"/>
    </row>
    <row r="108" spans="2:20" s="12" customFormat="1" ht="13.8" x14ac:dyDescent="0.3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99"/>
      <c r="N108" s="77"/>
      <c r="O108" s="77"/>
      <c r="P108" s="92"/>
      <c r="Q108" s="93"/>
      <c r="R108" s="93"/>
      <c r="S108" s="93"/>
      <c r="T108" s="94"/>
    </row>
    <row r="109" spans="2:20" x14ac:dyDescent="0.3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2:20" ht="15" customHeight="1" x14ac:dyDescent="0.35">
      <c r="B110" s="4" t="s">
        <v>64</v>
      </c>
      <c r="C110" s="5"/>
      <c r="D110" s="5"/>
      <c r="E110" s="5"/>
      <c r="F110" s="5"/>
      <c r="G110" s="5"/>
      <c r="H110" s="5"/>
      <c r="I110" s="5"/>
      <c r="J110" s="5"/>
    </row>
    <row r="111" spans="2:20" x14ac:dyDescent="0.3">
      <c r="B111" s="109" t="s">
        <v>0</v>
      </c>
      <c r="C111" s="110"/>
      <c r="D111" s="110"/>
      <c r="E111" s="110"/>
      <c r="F111" s="110"/>
      <c r="G111" s="110"/>
      <c r="H111" s="111"/>
      <c r="I111" s="109" t="s">
        <v>65</v>
      </c>
      <c r="J111" s="110"/>
      <c r="K111" s="110"/>
      <c r="L111" s="111"/>
      <c r="M111" s="86" t="s">
        <v>66</v>
      </c>
      <c r="N111" s="87"/>
      <c r="O111" s="87"/>
      <c r="P111" s="88"/>
      <c r="Q111" s="86" t="s">
        <v>1</v>
      </c>
      <c r="R111" s="87"/>
      <c r="S111" s="87"/>
      <c r="T111" s="88"/>
    </row>
    <row r="112" spans="2:20" x14ac:dyDescent="0.3">
      <c r="B112" s="103" t="str">
        <f>D28</f>
        <v>Murilo Moraes</v>
      </c>
      <c r="C112" s="104"/>
      <c r="D112" s="104"/>
      <c r="E112" s="104"/>
      <c r="F112" s="104"/>
      <c r="G112" s="104"/>
      <c r="H112" s="105"/>
      <c r="I112" s="103" t="s">
        <v>3</v>
      </c>
      <c r="J112" s="104"/>
      <c r="K112" s="104"/>
      <c r="L112" s="105"/>
      <c r="M112" s="106" t="s">
        <v>53</v>
      </c>
      <c r="N112" s="107"/>
      <c r="O112" s="107"/>
      <c r="P112" s="108"/>
      <c r="Q112" s="106" t="s">
        <v>5</v>
      </c>
      <c r="R112" s="107"/>
      <c r="S112" s="107"/>
      <c r="T112" s="108"/>
    </row>
    <row r="113" spans="2:20" ht="15" customHeight="1" x14ac:dyDescent="0.3">
      <c r="B113" s="103" t="s">
        <v>67</v>
      </c>
      <c r="C113" s="104"/>
      <c r="D113" s="104"/>
      <c r="E113" s="104"/>
      <c r="F113" s="104"/>
      <c r="G113" s="104"/>
      <c r="H113" s="105"/>
      <c r="I113" s="103" t="s">
        <v>68</v>
      </c>
      <c r="J113" s="104"/>
      <c r="K113" s="104"/>
      <c r="L113" s="105"/>
      <c r="M113" s="106" t="s">
        <v>53</v>
      </c>
      <c r="N113" s="107"/>
      <c r="O113" s="107"/>
      <c r="P113" s="108"/>
      <c r="Q113" s="106" t="s">
        <v>2</v>
      </c>
      <c r="R113" s="107"/>
      <c r="S113" s="107"/>
      <c r="T113" s="108"/>
    </row>
    <row r="114" spans="2:20" x14ac:dyDescent="0.3">
      <c r="B114" s="103" t="s">
        <v>69</v>
      </c>
      <c r="C114" s="104"/>
      <c r="D114" s="104"/>
      <c r="E114" s="104"/>
      <c r="F114" s="104"/>
      <c r="G114" s="104"/>
      <c r="H114" s="105"/>
      <c r="I114" s="103" t="s">
        <v>70</v>
      </c>
      <c r="J114" s="104"/>
      <c r="K114" s="104"/>
      <c r="L114" s="105"/>
      <c r="M114" s="106" t="s">
        <v>53</v>
      </c>
      <c r="N114" s="107"/>
      <c r="O114" s="107"/>
      <c r="P114" s="108"/>
      <c r="Q114" s="106" t="s">
        <v>5</v>
      </c>
      <c r="R114" s="107"/>
      <c r="S114" s="107"/>
      <c r="T114" s="108"/>
    </row>
    <row r="120" spans="2:20" ht="18" x14ac:dyDescent="0.35">
      <c r="B120" s="4" t="s">
        <v>71</v>
      </c>
      <c r="C120" s="5"/>
      <c r="D120" s="5"/>
      <c r="E120" s="5"/>
      <c r="F120" s="5"/>
      <c r="G120" s="5"/>
      <c r="H120" s="5"/>
      <c r="I120" s="5"/>
      <c r="J120" s="5"/>
    </row>
    <row r="121" spans="2:20" x14ac:dyDescent="0.3">
      <c r="B121" s="121" t="s">
        <v>72</v>
      </c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3"/>
    </row>
    <row r="122" spans="2:20" x14ac:dyDescent="0.3">
      <c r="B122" s="124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6"/>
    </row>
    <row r="123" spans="2:20" x14ac:dyDescent="0.3">
      <c r="B123" s="127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9"/>
    </row>
    <row r="124" spans="2:20" x14ac:dyDescent="0.3">
      <c r="B124" s="127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9"/>
    </row>
    <row r="125" spans="2:20" x14ac:dyDescent="0.3">
      <c r="B125" s="127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9"/>
    </row>
    <row r="126" spans="2:20" x14ac:dyDescent="0.3"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9"/>
    </row>
    <row r="127" spans="2:20" x14ac:dyDescent="0.3"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9"/>
    </row>
    <row r="128" spans="2:20" x14ac:dyDescent="0.3"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9"/>
    </row>
    <row r="129" spans="2:20" x14ac:dyDescent="0.3"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9"/>
    </row>
    <row r="130" spans="2:20" x14ac:dyDescent="0.3"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9"/>
    </row>
    <row r="131" spans="2:20" x14ac:dyDescent="0.3"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9"/>
    </row>
    <row r="132" spans="2:20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x14ac:dyDescent="0.3"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9"/>
    </row>
    <row r="134" spans="2:20" x14ac:dyDescent="0.3">
      <c r="B134" s="127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9"/>
    </row>
    <row r="135" spans="2:20" x14ac:dyDescent="0.3">
      <c r="B135" s="127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9"/>
    </row>
    <row r="136" spans="2:20" x14ac:dyDescent="0.3">
      <c r="B136" s="127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9"/>
    </row>
    <row r="137" spans="2:20" x14ac:dyDescent="0.3">
      <c r="B137" s="127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9"/>
    </row>
    <row r="138" spans="2:20" x14ac:dyDescent="0.3">
      <c r="B138" s="127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9"/>
    </row>
    <row r="139" spans="2:20" x14ac:dyDescent="0.3"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2:20" x14ac:dyDescent="0.3">
      <c r="B140" s="121" t="s">
        <v>73</v>
      </c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3"/>
    </row>
    <row r="141" spans="2:20" x14ac:dyDescent="0.3">
      <c r="B141" s="124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6"/>
    </row>
    <row r="142" spans="2:20" x14ac:dyDescent="0.3">
      <c r="B142" s="127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9"/>
    </row>
    <row r="143" spans="2:20" x14ac:dyDescent="0.3">
      <c r="B143" s="127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9"/>
    </row>
    <row r="144" spans="2:20" x14ac:dyDescent="0.3">
      <c r="B144" s="127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9"/>
    </row>
    <row r="145" spans="2:20" x14ac:dyDescent="0.3">
      <c r="B145" s="127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9"/>
    </row>
    <row r="146" spans="2:20" x14ac:dyDescent="0.3">
      <c r="B146" s="127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9"/>
    </row>
    <row r="147" spans="2:20" x14ac:dyDescent="0.3">
      <c r="B147" s="127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9"/>
    </row>
    <row r="148" spans="2:20" x14ac:dyDescent="0.3">
      <c r="B148" s="127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9"/>
    </row>
    <row r="149" spans="2:20" x14ac:dyDescent="0.3">
      <c r="B149" s="127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9"/>
    </row>
    <row r="150" spans="2:20" x14ac:dyDescent="0.3">
      <c r="B150" s="127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9"/>
    </row>
    <row r="151" spans="2:20" x14ac:dyDescent="0.3">
      <c r="B151" s="127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9"/>
    </row>
    <row r="152" spans="2:20" x14ac:dyDescent="0.3">
      <c r="B152" s="127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9"/>
    </row>
    <row r="153" spans="2:20" x14ac:dyDescent="0.3">
      <c r="B153" s="6"/>
      <c r="C153" s="6"/>
      <c r="D153" s="6"/>
      <c r="E153" s="6"/>
      <c r="F153" s="6"/>
      <c r="G153" s="6"/>
      <c r="H153" s="6"/>
      <c r="I153" s="6"/>
      <c r="J153" s="6"/>
    </row>
    <row r="154" spans="2:20" x14ac:dyDescent="0.3">
      <c r="B154" s="13"/>
    </row>
    <row r="155" spans="2:20" ht="18" x14ac:dyDescent="0.35">
      <c r="B155" s="4" t="s">
        <v>74</v>
      </c>
    </row>
    <row r="156" spans="2:20" x14ac:dyDescent="0.3">
      <c r="B156" s="109" t="s">
        <v>0</v>
      </c>
      <c r="C156" s="110"/>
      <c r="D156" s="110"/>
      <c r="E156" s="110"/>
      <c r="F156" s="110"/>
      <c r="G156" s="111"/>
      <c r="H156" s="109" t="s">
        <v>65</v>
      </c>
      <c r="I156" s="110"/>
      <c r="J156" s="110"/>
      <c r="K156" s="110"/>
      <c r="L156" s="111"/>
      <c r="M156" s="97" t="s">
        <v>66</v>
      </c>
      <c r="N156" s="97"/>
      <c r="O156" s="97"/>
      <c r="P156" s="97"/>
      <c r="Q156" s="86" t="s">
        <v>75</v>
      </c>
      <c r="R156" s="87"/>
      <c r="S156" s="87"/>
      <c r="T156" s="88"/>
    </row>
    <row r="157" spans="2:20" x14ac:dyDescent="0.3">
      <c r="B157" s="112" t="s">
        <v>67</v>
      </c>
      <c r="C157" s="113"/>
      <c r="D157" s="113"/>
      <c r="E157" s="113"/>
      <c r="F157" s="113"/>
      <c r="G157" s="114"/>
      <c r="H157" s="115" t="s">
        <v>76</v>
      </c>
      <c r="I157" s="116"/>
      <c r="J157" s="116"/>
      <c r="K157" s="116"/>
      <c r="L157" s="117"/>
      <c r="M157" s="118" t="s">
        <v>53</v>
      </c>
      <c r="N157" s="119"/>
      <c r="O157" s="119"/>
      <c r="P157" s="120"/>
      <c r="Q157" s="118"/>
      <c r="R157" s="119"/>
      <c r="S157" s="119"/>
      <c r="T157" s="120"/>
    </row>
  </sheetData>
  <mergeCells count="242">
    <mergeCell ref="B157:G157"/>
    <mergeCell ref="H157:L157"/>
    <mergeCell ref="M157:P157"/>
    <mergeCell ref="Q157:T157"/>
    <mergeCell ref="B140:T140"/>
    <mergeCell ref="B141:T152"/>
    <mergeCell ref="B156:G156"/>
    <mergeCell ref="H156:L156"/>
    <mergeCell ref="M156:P156"/>
    <mergeCell ref="Q156:T156"/>
    <mergeCell ref="B114:H114"/>
    <mergeCell ref="I114:L114"/>
    <mergeCell ref="M114:P114"/>
    <mergeCell ref="Q114:T114"/>
    <mergeCell ref="B121:T121"/>
    <mergeCell ref="B122:T138"/>
    <mergeCell ref="B112:H112"/>
    <mergeCell ref="I112:L112"/>
    <mergeCell ref="M112:P112"/>
    <mergeCell ref="Q112:T112"/>
    <mergeCell ref="B113:H113"/>
    <mergeCell ref="I113:L113"/>
    <mergeCell ref="M113:P113"/>
    <mergeCell ref="Q113:T113"/>
    <mergeCell ref="B108:L108"/>
    <mergeCell ref="M108:O108"/>
    <mergeCell ref="P108:T108"/>
    <mergeCell ref="B111:H111"/>
    <mergeCell ref="I111:L111"/>
    <mergeCell ref="M111:P111"/>
    <mergeCell ref="Q111:T111"/>
    <mergeCell ref="B106:L106"/>
    <mergeCell ref="M106:O106"/>
    <mergeCell ref="P106:T106"/>
    <mergeCell ref="B107:L107"/>
    <mergeCell ref="M107:O107"/>
    <mergeCell ref="P107:T107"/>
    <mergeCell ref="B104:L104"/>
    <mergeCell ref="M104:O104"/>
    <mergeCell ref="P104:T104"/>
    <mergeCell ref="B105:L105"/>
    <mergeCell ref="M105:O105"/>
    <mergeCell ref="P105:T105"/>
    <mergeCell ref="B102:L102"/>
    <mergeCell ref="M102:O102"/>
    <mergeCell ref="B103:L103"/>
    <mergeCell ref="M103:O103"/>
    <mergeCell ref="P102:T102"/>
    <mergeCell ref="P103:T103"/>
    <mergeCell ref="B99:T99"/>
    <mergeCell ref="B100:L100"/>
    <mergeCell ref="M100:O100"/>
    <mergeCell ref="P100:T100"/>
    <mergeCell ref="B101:L101"/>
    <mergeCell ref="M101:O101"/>
    <mergeCell ref="P101:T101"/>
    <mergeCell ref="B95:L95"/>
    <mergeCell ref="M95:O95"/>
    <mergeCell ref="P95:T95"/>
    <mergeCell ref="B96:L96"/>
    <mergeCell ref="M96:O96"/>
    <mergeCell ref="P96:T96"/>
    <mergeCell ref="B93:L93"/>
    <mergeCell ref="M93:O93"/>
    <mergeCell ref="P93:T93"/>
    <mergeCell ref="B94:L94"/>
    <mergeCell ref="M94:O94"/>
    <mergeCell ref="P94:T94"/>
    <mergeCell ref="B91:L91"/>
    <mergeCell ref="M91:O91"/>
    <mergeCell ref="P91:T91"/>
    <mergeCell ref="B92:L92"/>
    <mergeCell ref="M92:O92"/>
    <mergeCell ref="P92:T92"/>
    <mergeCell ref="B87:T88"/>
    <mergeCell ref="B89:L89"/>
    <mergeCell ref="M89:O89"/>
    <mergeCell ref="P89:T89"/>
    <mergeCell ref="B90:L90"/>
    <mergeCell ref="M90:O90"/>
    <mergeCell ref="P90:T90"/>
    <mergeCell ref="B83:L83"/>
    <mergeCell ref="M83:O83"/>
    <mergeCell ref="P83:T83"/>
    <mergeCell ref="B84:L84"/>
    <mergeCell ref="M84:O84"/>
    <mergeCell ref="P84:T84"/>
    <mergeCell ref="B81:L81"/>
    <mergeCell ref="M81:O81"/>
    <mergeCell ref="P81:T81"/>
    <mergeCell ref="B82:L82"/>
    <mergeCell ref="M82:O82"/>
    <mergeCell ref="P82:T82"/>
    <mergeCell ref="B79:L79"/>
    <mergeCell ref="M79:O79"/>
    <mergeCell ref="P79:T79"/>
    <mergeCell ref="B80:L80"/>
    <mergeCell ref="M80:O80"/>
    <mergeCell ref="P80:T80"/>
    <mergeCell ref="B77:L77"/>
    <mergeCell ref="M77:O77"/>
    <mergeCell ref="P77:T77"/>
    <mergeCell ref="B78:L78"/>
    <mergeCell ref="M78:O78"/>
    <mergeCell ref="P78:T78"/>
    <mergeCell ref="B75:L75"/>
    <mergeCell ref="M75:O75"/>
    <mergeCell ref="P75:T75"/>
    <mergeCell ref="B76:L76"/>
    <mergeCell ref="M76:O76"/>
    <mergeCell ref="P76:T76"/>
    <mergeCell ref="B72:T72"/>
    <mergeCell ref="B73:L73"/>
    <mergeCell ref="M73:O73"/>
    <mergeCell ref="P73:T73"/>
    <mergeCell ref="B74:L74"/>
    <mergeCell ref="M74:O74"/>
    <mergeCell ref="P74:T74"/>
    <mergeCell ref="B68:L68"/>
    <mergeCell ref="M68:O68"/>
    <mergeCell ref="P68:T68"/>
    <mergeCell ref="B69:L69"/>
    <mergeCell ref="M69:O69"/>
    <mergeCell ref="P69:T69"/>
    <mergeCell ref="B66:L66"/>
    <mergeCell ref="M66:O66"/>
    <mergeCell ref="P66:T66"/>
    <mergeCell ref="B67:L67"/>
    <mergeCell ref="M67:O67"/>
    <mergeCell ref="P67:T67"/>
    <mergeCell ref="B64:L64"/>
    <mergeCell ref="M64:O64"/>
    <mergeCell ref="P64:T64"/>
    <mergeCell ref="B65:L65"/>
    <mergeCell ref="M65:O65"/>
    <mergeCell ref="P65:T65"/>
    <mergeCell ref="B62:L62"/>
    <mergeCell ref="M62:O62"/>
    <mergeCell ref="P62:T62"/>
    <mergeCell ref="B63:L63"/>
    <mergeCell ref="M63:O63"/>
    <mergeCell ref="P63:T63"/>
    <mergeCell ref="B56:H56"/>
    <mergeCell ref="I56:K56"/>
    <mergeCell ref="L56:M56"/>
    <mergeCell ref="N56:T56"/>
    <mergeCell ref="B61:L61"/>
    <mergeCell ref="M61:O61"/>
    <mergeCell ref="P61:T61"/>
    <mergeCell ref="B54:H54"/>
    <mergeCell ref="I54:K54"/>
    <mergeCell ref="L54:M54"/>
    <mergeCell ref="N54:T54"/>
    <mergeCell ref="B55:H55"/>
    <mergeCell ref="I55:K55"/>
    <mergeCell ref="L55:M55"/>
    <mergeCell ref="N55:T55"/>
    <mergeCell ref="B52:H52"/>
    <mergeCell ref="I52:K52"/>
    <mergeCell ref="L52:M52"/>
    <mergeCell ref="N52:T52"/>
    <mergeCell ref="B53:H53"/>
    <mergeCell ref="I53:K53"/>
    <mergeCell ref="L53:M53"/>
    <mergeCell ref="N53:T53"/>
    <mergeCell ref="B50:H50"/>
    <mergeCell ref="I50:K50"/>
    <mergeCell ref="L50:M50"/>
    <mergeCell ref="N50:T50"/>
    <mergeCell ref="B51:H51"/>
    <mergeCell ref="I51:K51"/>
    <mergeCell ref="L51:M51"/>
    <mergeCell ref="N51:T51"/>
    <mergeCell ref="B46:K46"/>
    <mergeCell ref="L46:T46"/>
    <mergeCell ref="B47:E47"/>
    <mergeCell ref="F47:J47"/>
    <mergeCell ref="B49:H49"/>
    <mergeCell ref="I49:K49"/>
    <mergeCell ref="L49:M49"/>
    <mergeCell ref="N49:T49"/>
    <mergeCell ref="B43:K43"/>
    <mergeCell ref="L43:T43"/>
    <mergeCell ref="B44:K44"/>
    <mergeCell ref="L44:T44"/>
    <mergeCell ref="B45:K45"/>
    <mergeCell ref="L45:T45"/>
    <mergeCell ref="B40:K40"/>
    <mergeCell ref="L40:T40"/>
    <mergeCell ref="B41:K41"/>
    <mergeCell ref="L41:T41"/>
    <mergeCell ref="B42:K42"/>
    <mergeCell ref="L42:T42"/>
    <mergeCell ref="B35:H35"/>
    <mergeCell ref="I35:J35"/>
    <mergeCell ref="L35:T35"/>
    <mergeCell ref="B36:H36"/>
    <mergeCell ref="I36:J36"/>
    <mergeCell ref="L36:T36"/>
    <mergeCell ref="B32:F32"/>
    <mergeCell ref="G32:J32"/>
    <mergeCell ref="L32:P32"/>
    <mergeCell ref="Q32:T32"/>
    <mergeCell ref="B33:F33"/>
    <mergeCell ref="G33:J33"/>
    <mergeCell ref="L33:T33"/>
    <mergeCell ref="D28:J28"/>
    <mergeCell ref="L28:M28"/>
    <mergeCell ref="N28:T28"/>
    <mergeCell ref="D29:J29"/>
    <mergeCell ref="L29:M29"/>
    <mergeCell ref="N29:T29"/>
    <mergeCell ref="D24:J24"/>
    <mergeCell ref="L24:M24"/>
    <mergeCell ref="N24:T24"/>
    <mergeCell ref="D25:J25"/>
    <mergeCell ref="L25:M25"/>
    <mergeCell ref="N25:T25"/>
    <mergeCell ref="B18:J18"/>
    <mergeCell ref="K18:T18"/>
    <mergeCell ref="B19:J19"/>
    <mergeCell ref="K19:T19"/>
    <mergeCell ref="B20:J20"/>
    <mergeCell ref="K20:T20"/>
    <mergeCell ref="B15:J15"/>
    <mergeCell ref="K15:T15"/>
    <mergeCell ref="B16:J16"/>
    <mergeCell ref="K16:T16"/>
    <mergeCell ref="B17:J17"/>
    <mergeCell ref="K17:T17"/>
    <mergeCell ref="B10:F10"/>
    <mergeCell ref="G10:T10"/>
    <mergeCell ref="B11:F11"/>
    <mergeCell ref="G11:T11"/>
    <mergeCell ref="B12:F12"/>
    <mergeCell ref="G12:T12"/>
    <mergeCell ref="B5:I5"/>
    <mergeCell ref="J5:T5"/>
    <mergeCell ref="B6:I6"/>
    <mergeCell ref="J6:T6"/>
    <mergeCell ref="B7:I7"/>
    <mergeCell ref="J7:T7"/>
  </mergeCells>
  <conditionalFormatting sqref="B40:B46">
    <cfRule type="notContainsBlanks" dxfId="217" priority="34">
      <formula>LEN(TRIM(B40))&gt;0</formula>
    </cfRule>
  </conditionalFormatting>
  <conditionalFormatting sqref="D24:J25">
    <cfRule type="containsBlanks" dxfId="216" priority="15">
      <formula>LEN(TRIM(D24))=0</formula>
    </cfRule>
  </conditionalFormatting>
  <conditionalFormatting sqref="D28:J29">
    <cfRule type="containsBlanks" dxfId="215" priority="2">
      <formula>LEN(TRIM(D28))=0</formula>
    </cfRule>
  </conditionalFormatting>
  <conditionalFormatting sqref="G32:J33">
    <cfRule type="containsBlanks" dxfId="214" priority="11">
      <formula>LEN(TRIM(G32))=0</formula>
    </cfRule>
  </conditionalFormatting>
  <conditionalFormatting sqref="G10:T10">
    <cfRule type="containsBlanks" dxfId="213" priority="18">
      <formula>LEN(TRIM(G10))=0</formula>
    </cfRule>
  </conditionalFormatting>
  <conditionalFormatting sqref="G11:T12">
    <cfRule type="containsBlanks" dxfId="212" priority="29">
      <formula>LEN(TRIM(G11))=0</formula>
    </cfRule>
  </conditionalFormatting>
  <conditionalFormatting sqref="I35:I36">
    <cfRule type="containsBlanks" dxfId="211" priority="7">
      <formula>LEN(TRIM(I35))=0</formula>
    </cfRule>
  </conditionalFormatting>
  <conditionalFormatting sqref="J5:T5">
    <cfRule type="containsText" dxfId="210" priority="33" operator="containsText" text="Nome do Cliente">
      <formula>NOT(ISERROR(SEARCH("Nome do Cliente",J5)))</formula>
    </cfRule>
  </conditionalFormatting>
  <conditionalFormatting sqref="J5:T7">
    <cfRule type="containsBlanks" dxfId="209" priority="31">
      <formula>LEN(TRIM(J5))=0</formula>
    </cfRule>
  </conditionalFormatting>
  <conditionalFormatting sqref="J6:T6">
    <cfRule type="containsText" dxfId="208" priority="32" operator="containsText" text="01/01/2023">
      <formula>NOT(ISERROR(SEARCH("01/01/2023",J6)))</formula>
    </cfRule>
  </conditionalFormatting>
  <conditionalFormatting sqref="J7:T7">
    <cfRule type="containsText" dxfId="207" priority="30" operator="containsText" text="Nome do solicitante">
      <formula>NOT(ISERROR(SEARCH("Nome do solicitante",J7)))</formula>
    </cfRule>
  </conditionalFormatting>
  <conditionalFormatting sqref="L39">
    <cfRule type="notContainsBlanks" dxfId="206" priority="36">
      <formula>LEN(TRIM(L39))&gt;0</formula>
    </cfRule>
  </conditionalFormatting>
  <conditionalFormatting sqref="L33:T33">
    <cfRule type="beginsWith" dxfId="204" priority="8" operator="beginsWith" text="ABORTAR">
      <formula>LEFT(L33,LEN("ABORTAR"))="ABORTAR"</formula>
    </cfRule>
    <cfRule type="beginsWith" dxfId="203" priority="9" operator="beginsWith" text="Print">
      <formula>LEFT(L33,LEN("Print"))="Print"</formula>
    </cfRule>
    <cfRule type="beginsWith" dxfId="202" priority="10" operator="beginsWith" text="ALERTA">
      <formula>LEFT(L33,LEN("ALERTA"))="ALERTA"</formula>
    </cfRule>
  </conditionalFormatting>
  <conditionalFormatting sqref="L35:T36">
    <cfRule type="beginsWith" dxfId="201" priority="4" operator="beginsWith" text="ABORTAR">
      <formula>LEFT(L35,LEN("ABORTAR"))="ABORTAR"</formula>
    </cfRule>
    <cfRule type="beginsWith" dxfId="200" priority="5" operator="beginsWith" text="Print">
      <formula>LEFT(L35,LEN("Print"))="Print"</formula>
    </cfRule>
    <cfRule type="beginsWith" dxfId="199" priority="6" operator="beginsWith" text="ALERTA">
      <formula>LEFT(L35,LEN("ALERTA"))="ALERTA"</formula>
    </cfRule>
  </conditionalFormatting>
  <conditionalFormatting sqref="L40:T40">
    <cfRule type="expression" dxfId="198" priority="28">
      <formula>$B$40&lt;&gt;""</formula>
    </cfRule>
    <cfRule type="expression" dxfId="197" priority="27">
      <formula>AND($B$40&lt;&gt;"",$L$40="")</formula>
    </cfRule>
  </conditionalFormatting>
  <conditionalFormatting sqref="L41:T41">
    <cfRule type="expression" dxfId="196" priority="26">
      <formula>AND($B$41&lt;&gt;"",$L$41="")</formula>
    </cfRule>
  </conditionalFormatting>
  <conditionalFormatting sqref="L41:T46">
    <cfRule type="notContainsBlanks" dxfId="195" priority="20">
      <formula>LEN(TRIM(L41))&gt;0</formula>
    </cfRule>
  </conditionalFormatting>
  <conditionalFormatting sqref="L42:T42">
    <cfRule type="expression" dxfId="194" priority="25">
      <formula>AND($B$42&lt;&gt;"",$L$42="")</formula>
    </cfRule>
  </conditionalFormatting>
  <conditionalFormatting sqref="L43:T43">
    <cfRule type="expression" dxfId="193" priority="24">
      <formula>AND($B$43&lt;&gt;"",$L$43="")</formula>
    </cfRule>
  </conditionalFormatting>
  <conditionalFormatting sqref="L44:T44">
    <cfRule type="expression" dxfId="192" priority="23">
      <formula>AND($B$44&lt;&gt;"",$L$44="")</formula>
    </cfRule>
  </conditionalFormatting>
  <conditionalFormatting sqref="L45:T45">
    <cfRule type="expression" dxfId="191" priority="22">
      <formula>AND($B$45&lt;&gt;"",$L$45="")</formula>
    </cfRule>
  </conditionalFormatting>
  <conditionalFormatting sqref="L46:T46">
    <cfRule type="expression" dxfId="190" priority="21">
      <formula>AND($B$46&lt;&gt;"",$L$46="")</formula>
    </cfRule>
  </conditionalFormatting>
  <conditionalFormatting sqref="N24:T25">
    <cfRule type="containsBlanks" dxfId="189" priority="17">
      <formula>LEN(TRIM(N24))=0</formula>
    </cfRule>
  </conditionalFormatting>
  <conditionalFormatting sqref="N28:T29">
    <cfRule type="containsBlanks" dxfId="188" priority="1">
      <formula>LEN(TRIM(N28))=0</formula>
    </cfRule>
  </conditionalFormatting>
  <conditionalFormatting sqref="Q32:T32">
    <cfRule type="containsBlanks" dxfId="187" priority="12">
      <formula>LEN(TRIM(Q32))=0</formula>
    </cfRule>
  </conditionalFormatting>
  <conditionalFormatting sqref="Q157:T157">
    <cfRule type="containsBlanks" dxfId="186" priority="19">
      <formula>LEN(TRIM(Q157))=0</formula>
    </cfRule>
  </conditionalFormatting>
  <dataValidations count="9">
    <dataValidation type="list" allowBlank="1" showInputMessage="1" showErrorMessage="1" sqref="B157:G157" xr:uid="{CD61A653-1383-4FEE-829A-A14D042F5515}">
      <formula1>"Wilson Kempim Jr."</formula1>
    </dataValidation>
    <dataValidation type="list" allowBlank="1" showInputMessage="1" showErrorMessage="1" sqref="Q32:T32" xr:uid="{7841F4B7-1A8D-44D8-ABC5-3BA0DA8D5F44}">
      <formula1>"WINDOWS,LINUX,WINDOWS &amp; LINUX"</formula1>
    </dataValidation>
    <dataValidation type="list" allowBlank="1" showInputMessage="1" showErrorMessage="1" sqref="G32:J32" xr:uid="{230C5455-CA7E-4B87-9F2E-A2452915795D}">
      <formula1>"PRODUÇÃO,HOMOLOGAÇÃO,TESTES,TREINAMENTO,DESENVOLVIMENTO"</formula1>
    </dataValidation>
    <dataValidation type="list" allowBlank="1" showInputMessage="1" showErrorMessage="1" sqref="Q157:T157" xr:uid="{E36738E8-9639-4B23-9A80-6C1F0013AE17}">
      <formula1>"APROVADO,REPROVADO"</formula1>
    </dataValidation>
    <dataValidation type="list" allowBlank="1" showInputMessage="1" showErrorMessage="1" sqref="M62:O70" xr:uid="{DDE53C9E-8127-4393-ABDB-B27737549970}">
      <formula1>"NECESSÁRIO,OBRIGATÓRIO"</formula1>
    </dataValidation>
    <dataValidation type="list" allowBlank="1" showInputMessage="1" showErrorMessage="1" sqref="L50:M56" xr:uid="{293064E2-0CE1-47C1-B5B9-E2AA059D193D}">
      <formula1>"ALTO,MÉDIO,BAIXO"</formula1>
    </dataValidation>
    <dataValidation type="list" allowBlank="1" showInputMessage="1" showErrorMessage="1" sqref="I50:K56" xr:uid="{9ABB79F7-4AEC-455E-8EAF-B289873BE370}">
      <formula1>"ALTA,MÉDIA,BAIXA"</formula1>
    </dataValidation>
    <dataValidation type="list" allowBlank="1" showInputMessage="1" showErrorMessage="1" sqref="G11" xr:uid="{AC4B888B-C568-43CC-AB21-3CB98859212B}">
      <formula1>"PROGRAMADA,EMERGENCIAL"</formula1>
    </dataValidation>
    <dataValidation type="list" allowBlank="1" showInputMessage="1" showErrorMessage="1" sqref="M74:O84 S37:S38 G33:H34 J33:J34 I38 I33:I36" xr:uid="{E7AB2482-2DD5-4F42-A624-B95BEAE8DA8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05A02AD3-049E-42F6-8A6C-A43F63918080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5" operator="containsText" id="{286804BC-0241-4239-9C9D-82ADFB9395BB}">
            <xm:f>NOT(ISERROR(SEARCH("Risco de perda de dados sem o flashback!",L39)))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F13CEE-D0A2-40AD-B5C4-BBD41DE74696}">
          <x14:formula1>
            <xm:f>#REF!</xm:f>
          </x14:formula1>
          <xm:sqref>D28:J28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D8B6-0245-412A-B835-79CA72FACDE8}">
  <dimension ref="B4:T157"/>
  <sheetViews>
    <sheetView topLeftCell="A9" workbookViewId="0">
      <selection activeCell="AB117" sqref="AB117"/>
    </sheetView>
  </sheetViews>
  <sheetFormatPr defaultColWidth="8.88671875" defaultRowHeight="14.4" x14ac:dyDescent="0.3"/>
  <cols>
    <col min="1" max="1" width="1.6640625" customWidth="1"/>
    <col min="2" max="11" width="5.109375" customWidth="1"/>
    <col min="12" max="12" width="6.6640625" customWidth="1"/>
    <col min="13" max="20" width="5.109375" customWidth="1"/>
    <col min="21" max="22" width="1.6640625" customWidth="1"/>
    <col min="27" max="27" width="12.109375" bestFit="1" customWidth="1"/>
    <col min="28" max="28" width="107.6640625" bestFit="1" customWidth="1"/>
  </cols>
  <sheetData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6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 t="s">
        <v>100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 t="s">
        <v>224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 t="s">
        <v>225</v>
      </c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4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x14ac:dyDescent="0.3">
      <c r="B33" s="48" t="s">
        <v>29</v>
      </c>
      <c r="C33" s="49"/>
      <c r="D33" s="49"/>
      <c r="E33" s="49"/>
      <c r="F33" s="49"/>
      <c r="G33" s="43" t="s">
        <v>30</v>
      </c>
      <c r="H33" s="43"/>
      <c r="I33" s="43"/>
      <c r="J33" s="43"/>
      <c r="L33" s="52" t="str" cm="1">
        <f t="array" ref="L33">_xlfn.IFS(
AND(G32&lt;&gt;"PRODUÇÃO",G33="NÃO"),"ALERTA: Risco de perda de dados sem o backup!",
AND(G32="PRODUÇÃO",G33="NÃO"),"ABORTAR GMUD!!!",
G33="SIM","Print de evidência do backup na página de anexos.",
G33="",""
)</f>
        <v>Print de evidência do backup na página de anexos.</v>
      </c>
      <c r="M33" s="52"/>
      <c r="N33" s="52"/>
      <c r="O33" s="52"/>
      <c r="P33" s="52"/>
      <c r="Q33" s="52"/>
      <c r="R33" s="52"/>
      <c r="S33" s="52"/>
      <c r="T33" s="52"/>
    </row>
    <row r="34" spans="2:20" x14ac:dyDescent="0.3">
      <c r="B34" s="22" t="s">
        <v>31</v>
      </c>
      <c r="C34" s="23"/>
      <c r="D34" s="23"/>
      <c r="E34" s="23"/>
      <c r="F34" s="23"/>
      <c r="G34" s="22"/>
      <c r="H34" s="23"/>
      <c r="I34" s="23"/>
      <c r="J34" s="23"/>
    </row>
    <row r="35" spans="2:20" x14ac:dyDescent="0.3">
      <c r="B35" s="59" t="s">
        <v>32</v>
      </c>
      <c r="C35" s="60"/>
      <c r="D35" s="60"/>
      <c r="E35" s="60"/>
      <c r="F35" s="60"/>
      <c r="G35" s="60"/>
      <c r="H35" s="60"/>
      <c r="I35" s="43" t="s">
        <v>30</v>
      </c>
      <c r="J35" s="43"/>
      <c r="L35" s="52" t="str" cm="1">
        <f t="array" ref="L35">_xlfn.IFS(
I35="NÃO","ALERTA: necessário ter acesso à console Appmgr!",
I35="SIM","",
I35="",""
)</f>
        <v/>
      </c>
      <c r="M35" s="52"/>
      <c r="N35" s="52"/>
      <c r="O35" s="52"/>
      <c r="P35" s="52"/>
      <c r="Q35" s="52"/>
      <c r="R35" s="52"/>
      <c r="S35" s="52"/>
      <c r="T35" s="52"/>
    </row>
    <row r="36" spans="2:20" x14ac:dyDescent="0.3">
      <c r="B36" s="61" t="s">
        <v>34</v>
      </c>
      <c r="C36" s="62"/>
      <c r="D36" s="62"/>
      <c r="E36" s="62"/>
      <c r="F36" s="62"/>
      <c r="G36" s="62"/>
      <c r="H36" s="62"/>
      <c r="I36" s="43" t="s">
        <v>33</v>
      </c>
      <c r="J36" s="43"/>
      <c r="L36" s="52" t="str" cm="1">
        <f t="array" ref="L36">_xlfn.IFS(
I36="NÃO","",
I36="SIM","ALERTA: Evidenciar configurações dos hosts",
I36="",""
)</f>
        <v/>
      </c>
      <c r="M36" s="52"/>
      <c r="N36" s="52"/>
      <c r="O36" s="52"/>
      <c r="P36" s="52"/>
      <c r="Q36" s="52"/>
      <c r="R36" s="52"/>
      <c r="S36" s="52"/>
      <c r="T36" s="52"/>
    </row>
    <row r="37" spans="2:20" ht="15" customHeight="1" x14ac:dyDescent="0.3"/>
    <row r="39" spans="2:20" ht="18" x14ac:dyDescent="0.35">
      <c r="B39" s="1" t="s">
        <v>35</v>
      </c>
      <c r="C39" s="13"/>
      <c r="D39" s="13"/>
      <c r="E39" s="13"/>
      <c r="F39" s="13"/>
      <c r="L39" s="14"/>
      <c r="M39" s="14"/>
      <c r="N39" s="14"/>
      <c r="O39" s="14"/>
      <c r="P39" s="14"/>
      <c r="Q39" s="14"/>
      <c r="R39" s="14"/>
      <c r="S39" s="14"/>
      <c r="T39" s="14"/>
    </row>
    <row r="40" spans="2:20" x14ac:dyDescent="0.3">
      <c r="B40" s="54" t="str">
        <f>IF(
OR(L33="Print de evidência do backup na página de anexos.",L33="ALERTA: Risco de perda de dados sem o backup!"),"Data de ínicio:",""
)</f>
        <v>Data de ínicio:</v>
      </c>
      <c r="C40" s="54"/>
      <c r="D40" s="54"/>
      <c r="E40" s="54"/>
      <c r="F40" s="54"/>
      <c r="G40" s="54"/>
      <c r="H40" s="54"/>
      <c r="I40" s="54"/>
      <c r="J40" s="54"/>
      <c r="K40" s="54"/>
      <c r="L40" s="55" t="s">
        <v>36</v>
      </c>
      <c r="M40" s="55"/>
      <c r="N40" s="55"/>
      <c r="O40" s="55"/>
      <c r="P40" s="55"/>
      <c r="Q40" s="55"/>
      <c r="R40" s="55"/>
      <c r="S40" s="55"/>
      <c r="T40" s="55"/>
    </row>
    <row r="41" spans="2:20" x14ac:dyDescent="0.3">
      <c r="B41" s="54" t="str">
        <f>IF(
OR(L33="Print de evidência do backup na página de anexos.",L33="ALERTA: Risco de perda de dados sem o backup!"),"Hora de ínicio:",""
)</f>
        <v>Hora de ínicio:</v>
      </c>
      <c r="C41" s="54"/>
      <c r="D41" s="54"/>
      <c r="E41" s="54"/>
      <c r="F41" s="54"/>
      <c r="G41" s="54"/>
      <c r="H41" s="54"/>
      <c r="I41" s="54"/>
      <c r="J41" s="54"/>
      <c r="K41" s="54"/>
      <c r="L41" s="56">
        <v>0</v>
      </c>
      <c r="M41" s="56"/>
      <c r="N41" s="56"/>
      <c r="O41" s="56"/>
      <c r="P41" s="56"/>
      <c r="Q41" s="56"/>
      <c r="R41" s="56"/>
      <c r="S41" s="56"/>
      <c r="T41" s="56"/>
    </row>
    <row r="42" spans="2:20" x14ac:dyDescent="0.3">
      <c r="B42" s="54" t="str">
        <f>IF(L41&lt;&gt;"","Tempo total de execução:","")</f>
        <v>Tempo total de execução:</v>
      </c>
      <c r="C42" s="54"/>
      <c r="D42" s="54"/>
      <c r="E42" s="54"/>
      <c r="F42" s="54"/>
      <c r="G42" s="54"/>
      <c r="H42" s="54"/>
      <c r="I42" s="54"/>
      <c r="J42" s="54"/>
      <c r="K42" s="54"/>
      <c r="L42" s="57">
        <v>2.0833333333333332E-2</v>
      </c>
      <c r="M42" s="58"/>
      <c r="N42" s="58"/>
      <c r="O42" s="58"/>
      <c r="P42" s="58"/>
      <c r="Q42" s="58"/>
      <c r="R42" s="58"/>
      <c r="S42" s="58"/>
      <c r="T42" s="58"/>
    </row>
    <row r="43" spans="2:20" x14ac:dyDescent="0.3">
      <c r="B43" s="54" t="str">
        <f>IF(L42&lt;&gt;"","Tempo total de paralização:","")</f>
        <v>Tempo total de paralização:</v>
      </c>
      <c r="C43" s="54"/>
      <c r="D43" s="54"/>
      <c r="E43" s="54"/>
      <c r="F43" s="54"/>
      <c r="G43" s="54"/>
      <c r="H43" s="54"/>
      <c r="I43" s="54"/>
      <c r="J43" s="54"/>
      <c r="K43" s="54"/>
      <c r="L43" s="63">
        <v>2.0833333333333332E-2</v>
      </c>
      <c r="M43" s="64"/>
      <c r="N43" s="64"/>
      <c r="O43" s="64"/>
      <c r="P43" s="64"/>
      <c r="Q43" s="64"/>
      <c r="R43" s="64"/>
      <c r="S43" s="64"/>
      <c r="T43" s="65"/>
    </row>
    <row r="44" spans="2:20" x14ac:dyDescent="0.3">
      <c r="B44" s="54" t="str">
        <f>IF(L43&lt;&gt;"","Tempo total para testes","")</f>
        <v>Tempo total para testes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4.1666666666666664E-2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54" t="str">
        <f>IF(L44&lt;&gt;"","Tempo total para tentativa de correções:","")</f>
        <v>Tempo total para tentativa de correções: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4.1666666666666664E-2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plano de volta:","")</f>
        <v>Tempo total para plano de volta: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4.1666666666666664E-2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66"/>
      <c r="C47" s="67"/>
      <c r="D47" s="67"/>
      <c r="E47" s="68"/>
      <c r="F47" s="69"/>
      <c r="G47" s="70"/>
      <c r="H47" s="70"/>
      <c r="I47" s="70"/>
      <c r="J47" s="71"/>
    </row>
    <row r="48" spans="2:20" ht="18" x14ac:dyDescent="0.35">
      <c r="B48" s="4" t="s">
        <v>37</v>
      </c>
      <c r="C48" s="7"/>
      <c r="D48" s="7"/>
      <c r="E48" s="8"/>
      <c r="F48" s="9"/>
      <c r="G48" s="10"/>
      <c r="H48" s="10"/>
      <c r="I48" s="10"/>
      <c r="J48" s="11"/>
    </row>
    <row r="49" spans="2:20" s="19" customFormat="1" x14ac:dyDescent="0.3">
      <c r="B49" s="72" t="s">
        <v>38</v>
      </c>
      <c r="C49" s="72"/>
      <c r="D49" s="72"/>
      <c r="E49" s="72"/>
      <c r="F49" s="72"/>
      <c r="G49" s="72"/>
      <c r="H49" s="72"/>
      <c r="I49" s="73" t="s">
        <v>39</v>
      </c>
      <c r="J49" s="73"/>
      <c r="K49" s="73"/>
      <c r="L49" s="73" t="s">
        <v>40</v>
      </c>
      <c r="M49" s="73"/>
      <c r="N49" s="72" t="s">
        <v>41</v>
      </c>
      <c r="O49" s="72"/>
      <c r="P49" s="72"/>
      <c r="Q49" s="72"/>
      <c r="R49" s="72"/>
      <c r="S49" s="72"/>
      <c r="T49" s="72"/>
    </row>
    <row r="50" spans="2:20" s="19" customFormat="1" ht="15" customHeight="1" x14ac:dyDescent="0.3">
      <c r="B50" s="74" t="s">
        <v>42</v>
      </c>
      <c r="C50" s="74"/>
      <c r="D50" s="74"/>
      <c r="E50" s="74"/>
      <c r="F50" s="74"/>
      <c r="G50" s="74"/>
      <c r="H50" s="74"/>
      <c r="I50" s="75" t="s">
        <v>43</v>
      </c>
      <c r="J50" s="75"/>
      <c r="K50" s="75"/>
      <c r="L50" s="75" t="s">
        <v>44</v>
      </c>
      <c r="M50" s="75"/>
      <c r="N50" s="74" t="s">
        <v>45</v>
      </c>
      <c r="O50" s="74"/>
      <c r="P50" s="74"/>
      <c r="Q50" s="74"/>
      <c r="R50" s="74"/>
      <c r="S50" s="74"/>
      <c r="T50" s="74"/>
    </row>
    <row r="51" spans="2:20" s="19" customFormat="1" x14ac:dyDescent="0.3">
      <c r="B51" s="74"/>
      <c r="C51" s="74"/>
      <c r="D51" s="74"/>
      <c r="E51" s="74"/>
      <c r="F51" s="74"/>
      <c r="G51" s="74"/>
      <c r="H51" s="74"/>
      <c r="I51" s="75"/>
      <c r="J51" s="75"/>
      <c r="K51" s="75"/>
      <c r="L51" s="75"/>
      <c r="M51" s="75"/>
      <c r="N51" s="74"/>
      <c r="O51" s="74"/>
      <c r="P51" s="74"/>
      <c r="Q51" s="74"/>
      <c r="R51" s="74"/>
      <c r="S51" s="74"/>
      <c r="T51" s="74"/>
    </row>
    <row r="52" spans="2:20" s="19" customFormat="1" x14ac:dyDescent="0.3">
      <c r="B52" s="74"/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4"/>
      <c r="O52" s="74"/>
      <c r="P52" s="74"/>
      <c r="Q52" s="74"/>
      <c r="R52" s="74"/>
      <c r="S52" s="74"/>
      <c r="T52" s="74"/>
    </row>
    <row r="53" spans="2:20" s="19" customFormat="1" x14ac:dyDescent="0.3">
      <c r="B53" s="74"/>
      <c r="C53" s="74"/>
      <c r="D53" s="74"/>
      <c r="E53" s="74"/>
      <c r="F53" s="74"/>
      <c r="G53" s="74"/>
      <c r="H53" s="74"/>
      <c r="I53" s="75"/>
      <c r="J53" s="75"/>
      <c r="K53" s="75"/>
      <c r="L53" s="75"/>
      <c r="M53" s="75"/>
      <c r="N53" s="74"/>
      <c r="O53" s="74"/>
      <c r="P53" s="74"/>
      <c r="Q53" s="74"/>
      <c r="R53" s="74"/>
      <c r="S53" s="74"/>
      <c r="T53" s="74"/>
    </row>
    <row r="54" spans="2:20" s="19" customFormat="1" x14ac:dyDescent="0.3">
      <c r="B54" s="74"/>
      <c r="C54" s="74"/>
      <c r="D54" s="74"/>
      <c r="E54" s="74"/>
      <c r="F54" s="74"/>
      <c r="G54" s="74"/>
      <c r="H54" s="74"/>
      <c r="I54" s="75"/>
      <c r="J54" s="75"/>
      <c r="K54" s="75"/>
      <c r="L54" s="75"/>
      <c r="M54" s="75"/>
      <c r="N54" s="74"/>
      <c r="O54" s="74"/>
      <c r="P54" s="74"/>
      <c r="Q54" s="74"/>
      <c r="R54" s="74"/>
      <c r="S54" s="74"/>
      <c r="T54" s="74"/>
    </row>
    <row r="55" spans="2:20" s="19" customFormat="1" x14ac:dyDescent="0.3">
      <c r="B55" s="74"/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4"/>
      <c r="O55" s="74"/>
      <c r="P55" s="74"/>
      <c r="Q55" s="74"/>
      <c r="R55" s="74"/>
      <c r="S55" s="74"/>
      <c r="T55" s="74"/>
    </row>
    <row r="56" spans="2:20" s="19" customFormat="1" x14ac:dyDescent="0.3">
      <c r="B56" s="74"/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4"/>
      <c r="O56" s="74"/>
      <c r="P56" s="74"/>
      <c r="Q56" s="74"/>
      <c r="R56" s="74"/>
      <c r="S56" s="74"/>
      <c r="T56" s="74"/>
    </row>
    <row r="60" spans="2:20" ht="18" x14ac:dyDescent="0.35">
      <c r="B60" s="4" t="s">
        <v>46</v>
      </c>
    </row>
    <row r="61" spans="2:20" s="19" customFormat="1" x14ac:dyDescent="0.3">
      <c r="B61" s="72" t="s">
        <v>47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3" t="s">
        <v>48</v>
      </c>
      <c r="N61" s="73"/>
      <c r="O61" s="73"/>
      <c r="P61" s="73" t="s">
        <v>49</v>
      </c>
      <c r="Q61" s="73"/>
      <c r="R61" s="73"/>
      <c r="S61" s="73"/>
      <c r="T61" s="73"/>
    </row>
    <row r="62" spans="2:20" s="19" customFormat="1" x14ac:dyDescent="0.3">
      <c r="B62" s="76" t="s">
        <v>201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7" t="s">
        <v>51</v>
      </c>
      <c r="N62" s="77"/>
      <c r="O62" s="77"/>
      <c r="P62" s="77" t="str">
        <f>$D$28</f>
        <v>Murilo Moraes</v>
      </c>
      <c r="Q62" s="77"/>
      <c r="R62" s="77"/>
      <c r="S62" s="77"/>
      <c r="T62" s="77"/>
    </row>
    <row r="63" spans="2:20" s="19" customFormat="1" ht="15" customHeight="1" x14ac:dyDescent="0.3">
      <c r="B63" s="76" t="s">
        <v>226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7" t="s">
        <v>51</v>
      </c>
      <c r="N63" s="77"/>
      <c r="O63" s="77"/>
      <c r="P63" s="77">
        <f>D24</f>
        <v>0</v>
      </c>
      <c r="Q63" s="77"/>
      <c r="R63" s="77"/>
      <c r="S63" s="77"/>
      <c r="T63" s="77"/>
    </row>
    <row r="64" spans="2:20" s="19" customFormat="1" x14ac:dyDescent="0.3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7"/>
      <c r="N64" s="77"/>
      <c r="O64" s="77"/>
      <c r="P64" s="77"/>
      <c r="Q64" s="77"/>
      <c r="R64" s="77"/>
      <c r="S64" s="77"/>
      <c r="T64" s="77"/>
    </row>
    <row r="65" spans="2:20" s="19" customFormat="1" x14ac:dyDescent="0.3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7"/>
      <c r="N65" s="77"/>
      <c r="O65" s="77"/>
      <c r="P65" s="77"/>
      <c r="Q65" s="77"/>
      <c r="R65" s="77"/>
      <c r="S65" s="77"/>
      <c r="T65" s="77"/>
    </row>
    <row r="66" spans="2:20" x14ac:dyDescent="0.3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7"/>
      <c r="N66" s="77"/>
      <c r="O66" s="77"/>
      <c r="P66" s="78"/>
      <c r="Q66" s="78"/>
      <c r="R66" s="78"/>
      <c r="S66" s="78"/>
      <c r="T66" s="78"/>
    </row>
    <row r="67" spans="2:20" x14ac:dyDescent="0.3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7"/>
      <c r="N67" s="77"/>
      <c r="O67" s="77"/>
      <c r="P67" s="78"/>
      <c r="Q67" s="78"/>
      <c r="R67" s="78"/>
      <c r="S67" s="78"/>
      <c r="T67" s="78"/>
    </row>
    <row r="68" spans="2:20" x14ac:dyDescent="0.3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7"/>
      <c r="N68" s="77"/>
      <c r="O68" s="77"/>
      <c r="P68" s="78"/>
      <c r="Q68" s="78"/>
      <c r="R68" s="78"/>
      <c r="S68" s="78"/>
      <c r="T68" s="78"/>
    </row>
    <row r="69" spans="2:20" x14ac:dyDescent="0.3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7"/>
      <c r="N69" s="77"/>
      <c r="O69" s="77"/>
      <c r="P69" s="78"/>
      <c r="Q69" s="78"/>
      <c r="R69" s="78"/>
      <c r="S69" s="78"/>
      <c r="T69" s="78"/>
    </row>
    <row r="71" spans="2:20" ht="18" x14ac:dyDescent="0.35">
      <c r="B71" s="4" t="s">
        <v>54</v>
      </c>
    </row>
    <row r="72" spans="2:20" ht="15" customHeight="1" x14ac:dyDescent="0.3">
      <c r="B72" s="83" t="s">
        <v>55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2:20" x14ac:dyDescent="0.3">
      <c r="B73" s="84" t="s">
        <v>47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5" t="s">
        <v>56</v>
      </c>
      <c r="N73" s="85"/>
      <c r="O73" s="85"/>
      <c r="P73" s="86" t="s">
        <v>49</v>
      </c>
      <c r="Q73" s="87"/>
      <c r="R73" s="87"/>
      <c r="S73" s="87"/>
      <c r="T73" s="88"/>
    </row>
    <row r="74" spans="2:20" s="19" customFormat="1" ht="15" customHeight="1" x14ac:dyDescent="0.3">
      <c r="B74" s="89" t="s">
        <v>227</v>
      </c>
      <c r="C74" s="90"/>
      <c r="D74" s="90"/>
      <c r="E74" s="90"/>
      <c r="F74" s="90"/>
      <c r="G74" s="90"/>
      <c r="H74" s="90"/>
      <c r="I74" s="90"/>
      <c r="J74" s="90"/>
      <c r="K74" s="90"/>
      <c r="L74" s="91"/>
      <c r="M74" s="79" t="s">
        <v>33</v>
      </c>
      <c r="N74" s="79"/>
      <c r="O74" s="79"/>
      <c r="P74" s="92" t="str">
        <f>$D$28</f>
        <v>Murilo Moraes</v>
      </c>
      <c r="Q74" s="93"/>
      <c r="R74" s="93"/>
      <c r="S74" s="93"/>
      <c r="T74" s="94"/>
    </row>
    <row r="75" spans="2:20" s="15" customFormat="1" x14ac:dyDescent="0.3">
      <c r="B75" s="74" t="s">
        <v>204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9" t="s">
        <v>30</v>
      </c>
      <c r="N75" s="79"/>
      <c r="O75" s="79"/>
      <c r="P75" s="80" t="str">
        <f>D28</f>
        <v>Murilo Moraes</v>
      </c>
      <c r="Q75" s="81"/>
      <c r="R75" s="81"/>
      <c r="S75" s="81"/>
      <c r="T75" s="82"/>
    </row>
    <row r="76" spans="2:20" s="15" customFormat="1" x14ac:dyDescent="0.3">
      <c r="B76" s="74" t="s">
        <v>228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9" t="s">
        <v>30</v>
      </c>
      <c r="N76" s="79"/>
      <c r="O76" s="79"/>
      <c r="P76" s="80" t="str">
        <f>D28</f>
        <v>Murilo Moraes</v>
      </c>
      <c r="Q76" s="81"/>
      <c r="R76" s="81"/>
      <c r="S76" s="81"/>
      <c r="T76" s="82"/>
    </row>
    <row r="77" spans="2:20" s="15" customFormat="1" x14ac:dyDescent="0.3">
      <c r="B77" s="74" t="s">
        <v>229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9" t="s">
        <v>30</v>
      </c>
      <c r="N77" s="79"/>
      <c r="O77" s="79"/>
      <c r="P77" s="80" t="str">
        <f>D28</f>
        <v>Murilo Moraes</v>
      </c>
      <c r="Q77" s="81"/>
      <c r="R77" s="81"/>
      <c r="S77" s="81"/>
      <c r="T77" s="82"/>
    </row>
    <row r="78" spans="2:20" s="19" customFormat="1" x14ac:dyDescent="0.3">
      <c r="B78" s="76" t="s">
        <v>207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9" t="s">
        <v>30</v>
      </c>
      <c r="N78" s="79"/>
      <c r="O78" s="79"/>
      <c r="P78" s="92" t="str">
        <f>D28</f>
        <v>Murilo Moraes</v>
      </c>
      <c r="Q78" s="93"/>
      <c r="R78" s="93"/>
      <c r="S78" s="93"/>
      <c r="T78" s="94"/>
    </row>
    <row r="79" spans="2:20" s="19" customFormat="1" x14ac:dyDescent="0.3">
      <c r="B79" s="76" t="s">
        <v>208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 t="s">
        <v>30</v>
      </c>
      <c r="N79" s="79"/>
      <c r="O79" s="79"/>
      <c r="P79" s="92" t="str">
        <f>D28</f>
        <v>Murilo Moraes</v>
      </c>
      <c r="Q79" s="93"/>
      <c r="R79" s="93"/>
      <c r="S79" s="93"/>
      <c r="T79" s="94"/>
    </row>
    <row r="80" spans="2:20" s="19" customFormat="1" x14ac:dyDescent="0.3">
      <c r="B80" s="76" t="s">
        <v>230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9" t="s">
        <v>33</v>
      </c>
      <c r="N80" s="79"/>
      <c r="O80" s="79"/>
      <c r="P80" s="92">
        <f>D24</f>
        <v>0</v>
      </c>
      <c r="Q80" s="93"/>
      <c r="R80" s="93"/>
      <c r="S80" s="93"/>
      <c r="T80" s="94"/>
    </row>
    <row r="81" spans="2:20" s="19" customFormat="1" x14ac:dyDescent="0.3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9"/>
      <c r="N81" s="79"/>
      <c r="O81" s="79"/>
      <c r="P81" s="92"/>
      <c r="Q81" s="93"/>
      <c r="R81" s="93"/>
      <c r="S81" s="93"/>
      <c r="T81" s="94"/>
    </row>
    <row r="82" spans="2:20" s="19" customFormat="1" x14ac:dyDescent="0.3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/>
      <c r="N82" s="79"/>
      <c r="O82" s="79"/>
      <c r="P82" s="92"/>
      <c r="Q82" s="93"/>
      <c r="R82" s="93"/>
      <c r="S82" s="93"/>
      <c r="T82" s="94"/>
    </row>
    <row r="83" spans="2:20" s="19" customFormat="1" x14ac:dyDescent="0.3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9"/>
      <c r="N83" s="79"/>
      <c r="O83" s="79"/>
      <c r="P83" s="92"/>
      <c r="Q83" s="93"/>
      <c r="R83" s="93"/>
      <c r="S83" s="93"/>
      <c r="T83" s="94"/>
    </row>
    <row r="84" spans="2:20" s="19" customFormat="1" x14ac:dyDescent="0.3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/>
      <c r="N84" s="79"/>
      <c r="O84" s="79"/>
      <c r="P84" s="92"/>
      <c r="Q84" s="93"/>
      <c r="R84" s="93"/>
      <c r="S84" s="93"/>
      <c r="T84" s="94"/>
    </row>
    <row r="86" spans="2:20" ht="18" x14ac:dyDescent="0.35">
      <c r="B86" s="4" t="s">
        <v>57</v>
      </c>
    </row>
    <row r="87" spans="2:20" x14ac:dyDescent="0.3">
      <c r="B87" s="83" t="s">
        <v>58</v>
      </c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2:20" x14ac:dyDescent="0.3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</row>
    <row r="89" spans="2:20" x14ac:dyDescent="0.3">
      <c r="B89" s="84" t="s">
        <v>47</v>
      </c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97" t="s">
        <v>59</v>
      </c>
      <c r="N89" s="97"/>
      <c r="O89" s="97"/>
      <c r="P89" s="86" t="s">
        <v>49</v>
      </c>
      <c r="Q89" s="87"/>
      <c r="R89" s="87"/>
      <c r="S89" s="87"/>
      <c r="T89" s="88"/>
    </row>
    <row r="90" spans="2:20" s="12" customFormat="1" ht="15" customHeight="1" x14ac:dyDescent="0.3">
      <c r="B90" s="74" t="s">
        <v>231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99">
        <v>4.1666666666666664E-2</v>
      </c>
      <c r="N90" s="77"/>
      <c r="O90" s="77"/>
      <c r="P90" s="92" t="str">
        <f>$D$28</f>
        <v>Murilo Moraes</v>
      </c>
      <c r="Q90" s="93"/>
      <c r="R90" s="93"/>
      <c r="S90" s="93"/>
      <c r="T90" s="94"/>
    </row>
    <row r="91" spans="2:20" s="12" customFormat="1" ht="13.8" x14ac:dyDescent="0.3">
      <c r="B91" s="100"/>
      <c r="C91" s="101"/>
      <c r="D91" s="101"/>
      <c r="E91" s="101"/>
      <c r="F91" s="101"/>
      <c r="G91" s="101"/>
      <c r="H91" s="101"/>
      <c r="I91" s="101"/>
      <c r="J91" s="101"/>
      <c r="K91" s="101"/>
      <c r="L91" s="102"/>
      <c r="M91" s="99"/>
      <c r="N91" s="77"/>
      <c r="O91" s="77"/>
      <c r="P91" s="92"/>
      <c r="Q91" s="93"/>
      <c r="R91" s="93"/>
      <c r="S91" s="93"/>
      <c r="T91" s="94"/>
    </row>
    <row r="92" spans="2:20" s="12" customFormat="1" ht="13.8" x14ac:dyDescent="0.3"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99"/>
      <c r="N92" s="77"/>
      <c r="O92" s="77"/>
      <c r="P92" s="92"/>
      <c r="Q92" s="93"/>
      <c r="R92" s="93"/>
      <c r="S92" s="93"/>
      <c r="T92" s="94"/>
    </row>
    <row r="93" spans="2:20" s="12" customFormat="1" ht="13.8" x14ac:dyDescent="0.3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99"/>
      <c r="N93" s="77"/>
      <c r="O93" s="77"/>
      <c r="P93" s="92"/>
      <c r="Q93" s="93"/>
      <c r="R93" s="93"/>
      <c r="S93" s="93"/>
      <c r="T93" s="94"/>
    </row>
    <row r="94" spans="2:20" s="12" customFormat="1" ht="13.8" x14ac:dyDescent="0.3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99"/>
      <c r="N94" s="77"/>
      <c r="O94" s="77"/>
      <c r="P94" s="92"/>
      <c r="Q94" s="93"/>
      <c r="R94" s="93"/>
      <c r="S94" s="93"/>
      <c r="T94" s="94"/>
    </row>
    <row r="95" spans="2:20" s="12" customFormat="1" ht="15" customHeight="1" x14ac:dyDescent="0.3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7"/>
      <c r="N95" s="77"/>
      <c r="O95" s="77"/>
      <c r="P95" s="92"/>
      <c r="Q95" s="93"/>
      <c r="R95" s="93"/>
      <c r="S95" s="93"/>
      <c r="T95" s="94"/>
    </row>
    <row r="96" spans="2:20" s="12" customFormat="1" ht="15" customHeight="1" x14ac:dyDescent="0.3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7"/>
      <c r="N96" s="77"/>
      <c r="O96" s="77"/>
      <c r="P96" s="92"/>
      <c r="Q96" s="93"/>
      <c r="R96" s="93"/>
      <c r="S96" s="93"/>
      <c r="T96" s="94"/>
    </row>
    <row r="97" spans="2:20" s="12" customFormat="1" ht="15" customHeight="1" x14ac:dyDescent="0.35">
      <c r="B97" s="4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2:20" ht="18" x14ac:dyDescent="0.35">
      <c r="B98" s="4" t="s">
        <v>61</v>
      </c>
    </row>
    <row r="99" spans="2:20" ht="15" customHeight="1" x14ac:dyDescent="0.3">
      <c r="B99" s="96" t="s">
        <v>62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</row>
    <row r="100" spans="2:20" x14ac:dyDescent="0.3">
      <c r="B100" s="84" t="s">
        <v>47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97" t="s">
        <v>59</v>
      </c>
      <c r="N100" s="97"/>
      <c r="O100" s="97"/>
      <c r="P100" s="86" t="s">
        <v>49</v>
      </c>
      <c r="Q100" s="87"/>
      <c r="R100" s="87"/>
      <c r="S100" s="87"/>
      <c r="T100" s="88"/>
    </row>
    <row r="101" spans="2:20" x14ac:dyDescent="0.3">
      <c r="B101" s="74" t="s">
        <v>211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99"/>
      <c r="N101" s="77"/>
      <c r="O101" s="77"/>
      <c r="P101" s="92"/>
      <c r="Q101" s="93"/>
      <c r="R101" s="93"/>
      <c r="S101" s="93"/>
      <c r="T101" s="94"/>
    </row>
    <row r="102" spans="2:20" s="12" customFormat="1" ht="15" customHeight="1" x14ac:dyDescent="0.3">
      <c r="B102" s="100"/>
      <c r="C102" s="101"/>
      <c r="D102" s="101"/>
      <c r="E102" s="101"/>
      <c r="F102" s="101"/>
      <c r="G102" s="101"/>
      <c r="H102" s="101"/>
      <c r="I102" s="101"/>
      <c r="J102" s="101"/>
      <c r="K102" s="101"/>
      <c r="L102" s="102"/>
      <c r="M102" s="99"/>
      <c r="N102" s="77"/>
      <c r="O102" s="77"/>
      <c r="P102" s="92"/>
      <c r="Q102" s="93"/>
      <c r="R102" s="93"/>
      <c r="S102" s="93"/>
      <c r="T102" s="94"/>
    </row>
    <row r="103" spans="2:20" s="12" customFormat="1" ht="13.8" x14ac:dyDescent="0.3"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99"/>
      <c r="N103" s="77"/>
      <c r="O103" s="77"/>
      <c r="P103" s="92"/>
      <c r="Q103" s="93"/>
      <c r="R103" s="93"/>
      <c r="S103" s="93"/>
      <c r="T103" s="94"/>
    </row>
    <row r="104" spans="2:20" s="12" customFormat="1" ht="13.8" x14ac:dyDescent="0.3"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9"/>
      <c r="N104" s="77"/>
      <c r="O104" s="77"/>
      <c r="P104" s="92"/>
      <c r="Q104" s="93"/>
      <c r="R104" s="93"/>
      <c r="S104" s="93"/>
      <c r="T104" s="94"/>
    </row>
    <row r="105" spans="2:20" s="12" customFormat="1" ht="13.8" x14ac:dyDescent="0.3"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99"/>
      <c r="N105" s="77"/>
      <c r="O105" s="77"/>
      <c r="P105" s="92"/>
      <c r="Q105" s="93"/>
      <c r="R105" s="93"/>
      <c r="S105" s="93"/>
      <c r="T105" s="94"/>
    </row>
    <row r="106" spans="2:20" s="12" customFormat="1" ht="13.8" x14ac:dyDescent="0.3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9"/>
      <c r="N106" s="77"/>
      <c r="O106" s="77"/>
      <c r="P106" s="92"/>
      <c r="Q106" s="93"/>
      <c r="R106" s="93"/>
      <c r="S106" s="93"/>
      <c r="T106" s="94"/>
    </row>
    <row r="107" spans="2:20" s="12" customFormat="1" ht="13.8" x14ac:dyDescent="0.3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/>
      <c r="N107" s="77"/>
      <c r="O107" s="77"/>
      <c r="P107" s="92"/>
      <c r="Q107" s="93"/>
      <c r="R107" s="93"/>
      <c r="S107" s="93"/>
      <c r="T107" s="94"/>
    </row>
    <row r="108" spans="2:20" s="12" customFormat="1" ht="13.8" x14ac:dyDescent="0.3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99"/>
      <c r="N108" s="77"/>
      <c r="O108" s="77"/>
      <c r="P108" s="92"/>
      <c r="Q108" s="93"/>
      <c r="R108" s="93"/>
      <c r="S108" s="93"/>
      <c r="T108" s="94"/>
    </row>
    <row r="109" spans="2:20" x14ac:dyDescent="0.3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2:20" ht="15" customHeight="1" x14ac:dyDescent="0.35">
      <c r="B110" s="4" t="s">
        <v>64</v>
      </c>
      <c r="C110" s="5"/>
      <c r="D110" s="5"/>
      <c r="E110" s="5"/>
      <c r="F110" s="5"/>
      <c r="G110" s="5"/>
      <c r="H110" s="5"/>
      <c r="I110" s="5"/>
      <c r="J110" s="5"/>
    </row>
    <row r="111" spans="2:20" x14ac:dyDescent="0.3">
      <c r="B111" s="109" t="s">
        <v>0</v>
      </c>
      <c r="C111" s="110"/>
      <c r="D111" s="110"/>
      <c r="E111" s="110"/>
      <c r="F111" s="110"/>
      <c r="G111" s="110"/>
      <c r="H111" s="111"/>
      <c r="I111" s="109" t="s">
        <v>65</v>
      </c>
      <c r="J111" s="110"/>
      <c r="K111" s="110"/>
      <c r="L111" s="111"/>
      <c r="M111" s="86" t="s">
        <v>66</v>
      </c>
      <c r="N111" s="87"/>
      <c r="O111" s="87"/>
      <c r="P111" s="88"/>
      <c r="Q111" s="86" t="s">
        <v>1</v>
      </c>
      <c r="R111" s="87"/>
      <c r="S111" s="87"/>
      <c r="T111" s="88"/>
    </row>
    <row r="112" spans="2:20" x14ac:dyDescent="0.3">
      <c r="B112" s="103" t="str">
        <f>D28</f>
        <v>Murilo Moraes</v>
      </c>
      <c r="C112" s="104"/>
      <c r="D112" s="104"/>
      <c r="E112" s="104"/>
      <c r="F112" s="104"/>
      <c r="G112" s="104"/>
      <c r="H112" s="105"/>
      <c r="I112" s="103" t="s">
        <v>3</v>
      </c>
      <c r="J112" s="104"/>
      <c r="K112" s="104"/>
      <c r="L112" s="105"/>
      <c r="M112" s="106" t="s">
        <v>53</v>
      </c>
      <c r="N112" s="107"/>
      <c r="O112" s="107"/>
      <c r="P112" s="108"/>
      <c r="Q112" s="106" t="s">
        <v>5</v>
      </c>
      <c r="R112" s="107"/>
      <c r="S112" s="107"/>
      <c r="T112" s="108"/>
    </row>
    <row r="113" spans="2:20" ht="15" customHeight="1" x14ac:dyDescent="0.3">
      <c r="B113" s="103" t="s">
        <v>67</v>
      </c>
      <c r="C113" s="104"/>
      <c r="D113" s="104"/>
      <c r="E113" s="104"/>
      <c r="F113" s="104"/>
      <c r="G113" s="104"/>
      <c r="H113" s="105"/>
      <c r="I113" s="103" t="s">
        <v>68</v>
      </c>
      <c r="J113" s="104"/>
      <c r="K113" s="104"/>
      <c r="L113" s="105"/>
      <c r="M113" s="106" t="s">
        <v>53</v>
      </c>
      <c r="N113" s="107"/>
      <c r="O113" s="107"/>
      <c r="P113" s="108"/>
      <c r="Q113" s="106" t="s">
        <v>2</v>
      </c>
      <c r="R113" s="107"/>
      <c r="S113" s="107"/>
      <c r="T113" s="108"/>
    </row>
    <row r="114" spans="2:20" x14ac:dyDescent="0.3">
      <c r="B114" s="103" t="s">
        <v>69</v>
      </c>
      <c r="C114" s="104"/>
      <c r="D114" s="104"/>
      <c r="E114" s="104"/>
      <c r="F114" s="104"/>
      <c r="G114" s="104"/>
      <c r="H114" s="105"/>
      <c r="I114" s="103" t="s">
        <v>70</v>
      </c>
      <c r="J114" s="104"/>
      <c r="K114" s="104"/>
      <c r="L114" s="105"/>
      <c r="M114" s="106" t="s">
        <v>53</v>
      </c>
      <c r="N114" s="107"/>
      <c r="O114" s="107"/>
      <c r="P114" s="108"/>
      <c r="Q114" s="106" t="s">
        <v>5</v>
      </c>
      <c r="R114" s="107"/>
      <c r="S114" s="107"/>
      <c r="T114" s="108"/>
    </row>
    <row r="120" spans="2:20" ht="18" x14ac:dyDescent="0.35">
      <c r="B120" s="4" t="s">
        <v>71</v>
      </c>
      <c r="C120" s="5"/>
      <c r="D120" s="5"/>
      <c r="E120" s="5"/>
      <c r="F120" s="5"/>
      <c r="G120" s="5"/>
      <c r="H120" s="5"/>
      <c r="I120" s="5"/>
      <c r="J120" s="5"/>
    </row>
    <row r="121" spans="2:20" x14ac:dyDescent="0.3">
      <c r="B121" s="121" t="s">
        <v>72</v>
      </c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3"/>
    </row>
    <row r="122" spans="2:20" x14ac:dyDescent="0.3">
      <c r="B122" s="124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6"/>
    </row>
    <row r="123" spans="2:20" x14ac:dyDescent="0.3">
      <c r="B123" s="127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9"/>
    </row>
    <row r="124" spans="2:20" x14ac:dyDescent="0.3">
      <c r="B124" s="127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9"/>
    </row>
    <row r="125" spans="2:20" x14ac:dyDescent="0.3">
      <c r="B125" s="127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9"/>
    </row>
    <row r="126" spans="2:20" x14ac:dyDescent="0.3"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9"/>
    </row>
    <row r="127" spans="2:20" x14ac:dyDescent="0.3"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9"/>
    </row>
    <row r="128" spans="2:20" x14ac:dyDescent="0.3"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9"/>
    </row>
    <row r="129" spans="2:20" x14ac:dyDescent="0.3"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9"/>
    </row>
    <row r="130" spans="2:20" x14ac:dyDescent="0.3"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9"/>
    </row>
    <row r="131" spans="2:20" x14ac:dyDescent="0.3"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9"/>
    </row>
    <row r="132" spans="2:20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x14ac:dyDescent="0.3"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9"/>
    </row>
    <row r="134" spans="2:20" x14ac:dyDescent="0.3">
      <c r="B134" s="127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9"/>
    </row>
    <row r="135" spans="2:20" x14ac:dyDescent="0.3">
      <c r="B135" s="127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9"/>
    </row>
    <row r="136" spans="2:20" x14ac:dyDescent="0.3">
      <c r="B136" s="127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9"/>
    </row>
    <row r="137" spans="2:20" x14ac:dyDescent="0.3">
      <c r="B137" s="127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9"/>
    </row>
    <row r="138" spans="2:20" x14ac:dyDescent="0.3">
      <c r="B138" s="127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9"/>
    </row>
    <row r="139" spans="2:20" x14ac:dyDescent="0.3"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2:20" x14ac:dyDescent="0.3">
      <c r="B140" s="121" t="s">
        <v>73</v>
      </c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3"/>
    </row>
    <row r="141" spans="2:20" x14ac:dyDescent="0.3">
      <c r="B141" s="124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6"/>
    </row>
    <row r="142" spans="2:20" x14ac:dyDescent="0.3">
      <c r="B142" s="127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9"/>
    </row>
    <row r="143" spans="2:20" x14ac:dyDescent="0.3">
      <c r="B143" s="127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9"/>
    </row>
    <row r="144" spans="2:20" x14ac:dyDescent="0.3">
      <c r="B144" s="127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9"/>
    </row>
    <row r="145" spans="2:20" x14ac:dyDescent="0.3">
      <c r="B145" s="127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9"/>
    </row>
    <row r="146" spans="2:20" x14ac:dyDescent="0.3">
      <c r="B146" s="127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9"/>
    </row>
    <row r="147" spans="2:20" x14ac:dyDescent="0.3">
      <c r="B147" s="127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9"/>
    </row>
    <row r="148" spans="2:20" x14ac:dyDescent="0.3">
      <c r="B148" s="127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9"/>
    </row>
    <row r="149" spans="2:20" x14ac:dyDescent="0.3">
      <c r="B149" s="127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9"/>
    </row>
    <row r="150" spans="2:20" x14ac:dyDescent="0.3">
      <c r="B150" s="127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9"/>
    </row>
    <row r="151" spans="2:20" x14ac:dyDescent="0.3">
      <c r="B151" s="127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9"/>
    </row>
    <row r="152" spans="2:20" x14ac:dyDescent="0.3">
      <c r="B152" s="127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9"/>
    </row>
    <row r="153" spans="2:20" x14ac:dyDescent="0.3">
      <c r="B153" s="6"/>
      <c r="C153" s="6"/>
      <c r="D153" s="6"/>
      <c r="E153" s="6"/>
      <c r="F153" s="6"/>
      <c r="G153" s="6"/>
      <c r="H153" s="6"/>
      <c r="I153" s="6"/>
      <c r="J153" s="6"/>
    </row>
    <row r="154" spans="2:20" x14ac:dyDescent="0.3">
      <c r="B154" s="13"/>
    </row>
    <row r="155" spans="2:20" ht="18" x14ac:dyDescent="0.35">
      <c r="B155" s="4" t="s">
        <v>74</v>
      </c>
    </row>
    <row r="156" spans="2:20" x14ac:dyDescent="0.3">
      <c r="B156" s="109" t="s">
        <v>0</v>
      </c>
      <c r="C156" s="110"/>
      <c r="D156" s="110"/>
      <c r="E156" s="110"/>
      <c r="F156" s="110"/>
      <c r="G156" s="111"/>
      <c r="H156" s="109" t="s">
        <v>65</v>
      </c>
      <c r="I156" s="110"/>
      <c r="J156" s="110"/>
      <c r="K156" s="110"/>
      <c r="L156" s="111"/>
      <c r="M156" s="97" t="s">
        <v>66</v>
      </c>
      <c r="N156" s="97"/>
      <c r="O156" s="97"/>
      <c r="P156" s="97"/>
      <c r="Q156" s="86" t="s">
        <v>75</v>
      </c>
      <c r="R156" s="87"/>
      <c r="S156" s="87"/>
      <c r="T156" s="88"/>
    </row>
    <row r="157" spans="2:20" x14ac:dyDescent="0.3">
      <c r="B157" s="112" t="s">
        <v>67</v>
      </c>
      <c r="C157" s="113"/>
      <c r="D157" s="113"/>
      <c r="E157" s="113"/>
      <c r="F157" s="113"/>
      <c r="G157" s="114"/>
      <c r="H157" s="115" t="s">
        <v>76</v>
      </c>
      <c r="I157" s="116"/>
      <c r="J157" s="116"/>
      <c r="K157" s="116"/>
      <c r="L157" s="117"/>
      <c r="M157" s="118" t="s">
        <v>53</v>
      </c>
      <c r="N157" s="119"/>
      <c r="O157" s="119"/>
      <c r="P157" s="120"/>
      <c r="Q157" s="118"/>
      <c r="R157" s="119"/>
      <c r="S157" s="119"/>
      <c r="T157" s="120"/>
    </row>
  </sheetData>
  <mergeCells count="242">
    <mergeCell ref="B10:F10"/>
    <mergeCell ref="G10:T10"/>
    <mergeCell ref="B11:F11"/>
    <mergeCell ref="G11:T11"/>
    <mergeCell ref="B12:F12"/>
    <mergeCell ref="G12:T12"/>
    <mergeCell ref="B5:I5"/>
    <mergeCell ref="J5:T5"/>
    <mergeCell ref="B6:I6"/>
    <mergeCell ref="J6:T6"/>
    <mergeCell ref="B7:I7"/>
    <mergeCell ref="J7:T7"/>
    <mergeCell ref="B18:J18"/>
    <mergeCell ref="K18:T18"/>
    <mergeCell ref="B19:J19"/>
    <mergeCell ref="K19:T19"/>
    <mergeCell ref="B20:J20"/>
    <mergeCell ref="K20:T20"/>
    <mergeCell ref="B15:J15"/>
    <mergeCell ref="K15:T15"/>
    <mergeCell ref="B16:J16"/>
    <mergeCell ref="K16:T16"/>
    <mergeCell ref="B17:J17"/>
    <mergeCell ref="K17:T17"/>
    <mergeCell ref="D28:J28"/>
    <mergeCell ref="L28:M28"/>
    <mergeCell ref="N28:T28"/>
    <mergeCell ref="D29:J29"/>
    <mergeCell ref="L29:M29"/>
    <mergeCell ref="N29:T29"/>
    <mergeCell ref="D24:J24"/>
    <mergeCell ref="L24:M24"/>
    <mergeCell ref="N24:T24"/>
    <mergeCell ref="D25:J25"/>
    <mergeCell ref="L25:M25"/>
    <mergeCell ref="N25:T25"/>
    <mergeCell ref="B35:H35"/>
    <mergeCell ref="I35:J35"/>
    <mergeCell ref="L35:T35"/>
    <mergeCell ref="B36:H36"/>
    <mergeCell ref="I36:J36"/>
    <mergeCell ref="L36:T36"/>
    <mergeCell ref="B32:F32"/>
    <mergeCell ref="G32:J32"/>
    <mergeCell ref="L32:P32"/>
    <mergeCell ref="Q32:T32"/>
    <mergeCell ref="B33:F33"/>
    <mergeCell ref="G33:J33"/>
    <mergeCell ref="L33:T33"/>
    <mergeCell ref="B43:K43"/>
    <mergeCell ref="L43:T43"/>
    <mergeCell ref="B44:K44"/>
    <mergeCell ref="L44:T44"/>
    <mergeCell ref="B45:K45"/>
    <mergeCell ref="L45:T45"/>
    <mergeCell ref="B40:K40"/>
    <mergeCell ref="L40:T40"/>
    <mergeCell ref="B41:K41"/>
    <mergeCell ref="L41:T41"/>
    <mergeCell ref="B42:K42"/>
    <mergeCell ref="L42:T42"/>
    <mergeCell ref="B50:H50"/>
    <mergeCell ref="I50:K50"/>
    <mergeCell ref="L50:M50"/>
    <mergeCell ref="N50:T50"/>
    <mergeCell ref="B51:H51"/>
    <mergeCell ref="I51:K51"/>
    <mergeCell ref="L51:M51"/>
    <mergeCell ref="N51:T51"/>
    <mergeCell ref="B46:K46"/>
    <mergeCell ref="L46:T46"/>
    <mergeCell ref="B47:E47"/>
    <mergeCell ref="F47:J47"/>
    <mergeCell ref="B49:H49"/>
    <mergeCell ref="I49:K49"/>
    <mergeCell ref="L49:M49"/>
    <mergeCell ref="N49:T49"/>
    <mergeCell ref="B54:H54"/>
    <mergeCell ref="I54:K54"/>
    <mergeCell ref="L54:M54"/>
    <mergeCell ref="N54:T54"/>
    <mergeCell ref="B55:H55"/>
    <mergeCell ref="I55:K55"/>
    <mergeCell ref="L55:M55"/>
    <mergeCell ref="N55:T55"/>
    <mergeCell ref="B52:H52"/>
    <mergeCell ref="I52:K52"/>
    <mergeCell ref="L52:M52"/>
    <mergeCell ref="N52:T52"/>
    <mergeCell ref="B53:H53"/>
    <mergeCell ref="I53:K53"/>
    <mergeCell ref="L53:M53"/>
    <mergeCell ref="N53:T53"/>
    <mergeCell ref="B62:L62"/>
    <mergeCell ref="M62:O62"/>
    <mergeCell ref="P62:T62"/>
    <mergeCell ref="B63:L63"/>
    <mergeCell ref="M63:O63"/>
    <mergeCell ref="P63:T63"/>
    <mergeCell ref="B56:H56"/>
    <mergeCell ref="I56:K56"/>
    <mergeCell ref="L56:M56"/>
    <mergeCell ref="N56:T56"/>
    <mergeCell ref="B61:L61"/>
    <mergeCell ref="M61:O61"/>
    <mergeCell ref="P61:T61"/>
    <mergeCell ref="B66:L66"/>
    <mergeCell ref="M66:O66"/>
    <mergeCell ref="P66:T66"/>
    <mergeCell ref="B67:L67"/>
    <mergeCell ref="M67:O67"/>
    <mergeCell ref="P67:T67"/>
    <mergeCell ref="B64:L64"/>
    <mergeCell ref="M64:O64"/>
    <mergeCell ref="P64:T64"/>
    <mergeCell ref="B65:L65"/>
    <mergeCell ref="M65:O65"/>
    <mergeCell ref="P65:T65"/>
    <mergeCell ref="B72:T72"/>
    <mergeCell ref="B73:L73"/>
    <mergeCell ref="M73:O73"/>
    <mergeCell ref="P73:T73"/>
    <mergeCell ref="B74:L74"/>
    <mergeCell ref="M74:O74"/>
    <mergeCell ref="P74:T74"/>
    <mergeCell ref="B68:L68"/>
    <mergeCell ref="M68:O68"/>
    <mergeCell ref="P68:T68"/>
    <mergeCell ref="B69:L69"/>
    <mergeCell ref="M69:O69"/>
    <mergeCell ref="P69:T69"/>
    <mergeCell ref="B77:L77"/>
    <mergeCell ref="M77:O77"/>
    <mergeCell ref="P77:T77"/>
    <mergeCell ref="B78:L78"/>
    <mergeCell ref="M78:O78"/>
    <mergeCell ref="P78:T78"/>
    <mergeCell ref="B75:L75"/>
    <mergeCell ref="M75:O75"/>
    <mergeCell ref="P75:T75"/>
    <mergeCell ref="B76:L76"/>
    <mergeCell ref="M76:O76"/>
    <mergeCell ref="P76:T76"/>
    <mergeCell ref="B81:L81"/>
    <mergeCell ref="M81:O81"/>
    <mergeCell ref="P81:T81"/>
    <mergeCell ref="B82:L82"/>
    <mergeCell ref="M82:O82"/>
    <mergeCell ref="P82:T82"/>
    <mergeCell ref="B79:L79"/>
    <mergeCell ref="M79:O79"/>
    <mergeCell ref="P79:T79"/>
    <mergeCell ref="B80:L80"/>
    <mergeCell ref="M80:O80"/>
    <mergeCell ref="P80:T80"/>
    <mergeCell ref="B87:T88"/>
    <mergeCell ref="B89:L89"/>
    <mergeCell ref="M89:O89"/>
    <mergeCell ref="P89:T89"/>
    <mergeCell ref="B90:L90"/>
    <mergeCell ref="M90:O90"/>
    <mergeCell ref="P90:T90"/>
    <mergeCell ref="B83:L83"/>
    <mergeCell ref="M83:O83"/>
    <mergeCell ref="P83:T83"/>
    <mergeCell ref="B84:L84"/>
    <mergeCell ref="M84:O84"/>
    <mergeCell ref="P84:T84"/>
    <mergeCell ref="B93:L93"/>
    <mergeCell ref="M93:O93"/>
    <mergeCell ref="P93:T93"/>
    <mergeCell ref="B94:L94"/>
    <mergeCell ref="M94:O94"/>
    <mergeCell ref="P94:T94"/>
    <mergeCell ref="B91:L91"/>
    <mergeCell ref="M91:O91"/>
    <mergeCell ref="P91:T91"/>
    <mergeCell ref="B92:L92"/>
    <mergeCell ref="M92:O92"/>
    <mergeCell ref="P92:T92"/>
    <mergeCell ref="B99:T99"/>
    <mergeCell ref="B100:L100"/>
    <mergeCell ref="M100:O100"/>
    <mergeCell ref="P100:T100"/>
    <mergeCell ref="B101:L101"/>
    <mergeCell ref="M101:O101"/>
    <mergeCell ref="P101:T101"/>
    <mergeCell ref="B95:L95"/>
    <mergeCell ref="M95:O95"/>
    <mergeCell ref="P95:T95"/>
    <mergeCell ref="B96:L96"/>
    <mergeCell ref="M96:O96"/>
    <mergeCell ref="P96:T96"/>
    <mergeCell ref="B104:L104"/>
    <mergeCell ref="M104:O104"/>
    <mergeCell ref="P104:T104"/>
    <mergeCell ref="B105:L105"/>
    <mergeCell ref="M105:O105"/>
    <mergeCell ref="P105:T105"/>
    <mergeCell ref="B102:L102"/>
    <mergeCell ref="M102:O102"/>
    <mergeCell ref="P102:T102"/>
    <mergeCell ref="B103:L103"/>
    <mergeCell ref="M103:O103"/>
    <mergeCell ref="P103:T103"/>
    <mergeCell ref="B108:L108"/>
    <mergeCell ref="M108:O108"/>
    <mergeCell ref="P108:T108"/>
    <mergeCell ref="B111:H111"/>
    <mergeCell ref="I111:L111"/>
    <mergeCell ref="M111:P111"/>
    <mergeCell ref="Q111:T111"/>
    <mergeCell ref="B106:L106"/>
    <mergeCell ref="M106:O106"/>
    <mergeCell ref="P106:T106"/>
    <mergeCell ref="B107:L107"/>
    <mergeCell ref="M107:O107"/>
    <mergeCell ref="P107:T107"/>
    <mergeCell ref="B114:H114"/>
    <mergeCell ref="I114:L114"/>
    <mergeCell ref="M114:P114"/>
    <mergeCell ref="Q114:T114"/>
    <mergeCell ref="B121:T121"/>
    <mergeCell ref="B122:T138"/>
    <mergeCell ref="B112:H112"/>
    <mergeCell ref="I112:L112"/>
    <mergeCell ref="M112:P112"/>
    <mergeCell ref="Q112:T112"/>
    <mergeCell ref="B113:H113"/>
    <mergeCell ref="I113:L113"/>
    <mergeCell ref="M113:P113"/>
    <mergeCell ref="Q113:T113"/>
    <mergeCell ref="B157:G157"/>
    <mergeCell ref="H157:L157"/>
    <mergeCell ref="M157:P157"/>
    <mergeCell ref="Q157:T157"/>
    <mergeCell ref="B140:T140"/>
    <mergeCell ref="B141:T152"/>
    <mergeCell ref="B156:G156"/>
    <mergeCell ref="H156:L156"/>
    <mergeCell ref="M156:P156"/>
    <mergeCell ref="Q156:T156"/>
  </mergeCells>
  <conditionalFormatting sqref="B40:B46">
    <cfRule type="notContainsBlanks" dxfId="185" priority="36">
      <formula>LEN(TRIM(B40))&gt;0</formula>
    </cfRule>
  </conditionalFormatting>
  <conditionalFormatting sqref="D24:J25">
    <cfRule type="containsBlanks" dxfId="184" priority="17">
      <formula>LEN(TRIM(D24))=0</formula>
    </cfRule>
  </conditionalFormatting>
  <conditionalFormatting sqref="D28:J29">
    <cfRule type="containsBlanks" dxfId="183" priority="2">
      <formula>LEN(TRIM(D28))=0</formula>
    </cfRule>
  </conditionalFormatting>
  <conditionalFormatting sqref="G32:J33">
    <cfRule type="containsBlanks" dxfId="182" priority="13">
      <formula>LEN(TRIM(G32))=0</formula>
    </cfRule>
  </conditionalFormatting>
  <conditionalFormatting sqref="G10:T10">
    <cfRule type="containsBlanks" dxfId="181" priority="20">
      <formula>LEN(TRIM(G10))=0</formula>
    </cfRule>
  </conditionalFormatting>
  <conditionalFormatting sqref="G11:T12">
    <cfRule type="containsBlanks" dxfId="180" priority="31">
      <formula>LEN(TRIM(G11))=0</formula>
    </cfRule>
  </conditionalFormatting>
  <conditionalFormatting sqref="I35:I36">
    <cfRule type="containsBlanks" dxfId="179" priority="9">
      <formula>LEN(TRIM(I35))=0</formula>
    </cfRule>
  </conditionalFormatting>
  <conditionalFormatting sqref="J5:T5">
    <cfRule type="containsText" dxfId="178" priority="35" operator="containsText" text="Nome do Cliente">
      <formula>NOT(ISERROR(SEARCH("Nome do Cliente",J5)))</formula>
    </cfRule>
  </conditionalFormatting>
  <conditionalFormatting sqref="J5:T7">
    <cfRule type="containsBlanks" dxfId="177" priority="33">
      <formula>LEN(TRIM(J5))=0</formula>
    </cfRule>
  </conditionalFormatting>
  <conditionalFormatting sqref="J6:T6">
    <cfRule type="containsText" dxfId="176" priority="34" operator="containsText" text="01/01/2023">
      <formula>NOT(ISERROR(SEARCH("01/01/2023",J6)))</formula>
    </cfRule>
  </conditionalFormatting>
  <conditionalFormatting sqref="J7:T7">
    <cfRule type="containsText" dxfId="175" priority="32" operator="containsText" text="Nome do solicitante">
      <formula>NOT(ISERROR(SEARCH("Nome do solicitante",J7)))</formula>
    </cfRule>
  </conditionalFormatting>
  <conditionalFormatting sqref="L39">
    <cfRule type="notContainsBlanks" dxfId="174" priority="38">
      <formula>LEN(TRIM(L39))&gt;0</formula>
    </cfRule>
  </conditionalFormatting>
  <conditionalFormatting sqref="L33:T33">
    <cfRule type="beginsWith" dxfId="172" priority="10" operator="beginsWith" text="ABORTAR">
      <formula>LEFT(L33,LEN("ABORTAR"))="ABORTAR"</formula>
    </cfRule>
    <cfRule type="beginsWith" dxfId="171" priority="11" operator="beginsWith" text="Print">
      <formula>LEFT(L33,LEN("Print"))="Print"</formula>
    </cfRule>
    <cfRule type="beginsWith" dxfId="170" priority="12" operator="beginsWith" text="ALERTA">
      <formula>LEFT(L33,LEN("ALERTA"))="ALERTA"</formula>
    </cfRule>
  </conditionalFormatting>
  <conditionalFormatting sqref="L35:T36">
    <cfRule type="beginsWith" dxfId="169" priority="6" operator="beginsWith" text="ABORTAR">
      <formula>LEFT(L35,LEN("ABORTAR"))="ABORTAR"</formula>
    </cfRule>
    <cfRule type="beginsWith" dxfId="168" priority="7" operator="beginsWith" text="Print">
      <formula>LEFT(L35,LEN("Print"))="Print"</formula>
    </cfRule>
    <cfRule type="beginsWith" dxfId="167" priority="8" operator="beginsWith" text="ALERTA">
      <formula>LEFT(L35,LEN("ALERTA"))="ALERTA"</formula>
    </cfRule>
  </conditionalFormatting>
  <conditionalFormatting sqref="L40:T40">
    <cfRule type="expression" dxfId="166" priority="30">
      <formula>$B$40&lt;&gt;""</formula>
    </cfRule>
    <cfRule type="expression" dxfId="165" priority="29">
      <formula>AND($B$40&lt;&gt;"",$L$40="")</formula>
    </cfRule>
  </conditionalFormatting>
  <conditionalFormatting sqref="L41:T41">
    <cfRule type="expression" dxfId="164" priority="28">
      <formula>AND($B$41&lt;&gt;"",$L$41="")</formula>
    </cfRule>
  </conditionalFormatting>
  <conditionalFormatting sqref="L41:T46">
    <cfRule type="notContainsBlanks" dxfId="163" priority="22">
      <formula>LEN(TRIM(L41))&gt;0</formula>
    </cfRule>
  </conditionalFormatting>
  <conditionalFormatting sqref="L42:T42">
    <cfRule type="expression" dxfId="162" priority="27">
      <formula>AND($B$42&lt;&gt;"",$L$42="")</formula>
    </cfRule>
  </conditionalFormatting>
  <conditionalFormatting sqref="L43:T43">
    <cfRule type="expression" dxfId="161" priority="26">
      <formula>AND($B$43&lt;&gt;"",$L$43="")</formula>
    </cfRule>
  </conditionalFormatting>
  <conditionalFormatting sqref="L44:T44">
    <cfRule type="expression" dxfId="160" priority="25">
      <formula>AND($B$44&lt;&gt;"",$L$44="")</formula>
    </cfRule>
  </conditionalFormatting>
  <conditionalFormatting sqref="L45:T45">
    <cfRule type="expression" dxfId="159" priority="24">
      <formula>AND($B$45&lt;&gt;"",$L$45="")</formula>
    </cfRule>
  </conditionalFormatting>
  <conditionalFormatting sqref="L46:T46">
    <cfRule type="expression" dxfId="158" priority="23">
      <formula>AND($B$46&lt;&gt;"",$L$46="")</formula>
    </cfRule>
  </conditionalFormatting>
  <conditionalFormatting sqref="N24:T25">
    <cfRule type="containsBlanks" dxfId="157" priority="19">
      <formula>LEN(TRIM(N24))=0</formula>
    </cfRule>
  </conditionalFormatting>
  <conditionalFormatting sqref="N28:T29">
    <cfRule type="containsBlanks" dxfId="156" priority="1">
      <formula>LEN(TRIM(N28))=0</formula>
    </cfRule>
  </conditionalFormatting>
  <conditionalFormatting sqref="Q32:T32">
    <cfRule type="containsBlanks" dxfId="155" priority="14">
      <formula>LEN(TRIM(Q32))=0</formula>
    </cfRule>
  </conditionalFormatting>
  <conditionalFormatting sqref="Q157:T157">
    <cfRule type="containsBlanks" dxfId="154" priority="21">
      <formula>LEN(TRIM(Q157))=0</formula>
    </cfRule>
  </conditionalFormatting>
  <dataValidations count="9">
    <dataValidation type="list" allowBlank="1" showInputMessage="1" showErrorMessage="1" sqref="M74:O84 S37:S38 G33:H34 J33:J34 I38 I33:I36" xr:uid="{612B775E-918E-47CF-B6A9-364F9B41F55F}">
      <formula1>"SIM,NÃO"</formula1>
    </dataValidation>
    <dataValidation type="list" allowBlank="1" showInputMessage="1" showErrorMessage="1" sqref="G11" xr:uid="{BE7E2B79-D873-4FEE-9714-B96A18E9F1D9}">
      <formula1>"PROGRAMADA,EMERGENCIAL"</formula1>
    </dataValidation>
    <dataValidation type="list" allowBlank="1" showInputMessage="1" showErrorMessage="1" sqref="I50:K56" xr:uid="{77AC621E-DBA7-460C-AFDB-E0A8B27B0556}">
      <formula1>"ALTA,MÉDIA,BAIXA"</formula1>
    </dataValidation>
    <dataValidation type="list" allowBlank="1" showInputMessage="1" showErrorMessage="1" sqref="L50:M56" xr:uid="{41528BA7-3CEF-4C70-95E7-DD2F5451228E}">
      <formula1>"ALTO,MÉDIO,BAIXO"</formula1>
    </dataValidation>
    <dataValidation type="list" allowBlank="1" showInputMessage="1" showErrorMessage="1" sqref="M62:O70" xr:uid="{3255368A-FFEE-4E0D-BDE9-5C2304F52025}">
      <formula1>"NECESSÁRIO,OBRIGATÓRIO"</formula1>
    </dataValidation>
    <dataValidation type="list" allowBlank="1" showInputMessage="1" showErrorMessage="1" sqref="Q157:T157" xr:uid="{860D388A-A335-4BA1-AB98-BBA2BFF0B77A}">
      <formula1>"APROVADO,REPROVADO"</formula1>
    </dataValidation>
    <dataValidation type="list" allowBlank="1" showInputMessage="1" showErrorMessage="1" sqref="G32:J32" xr:uid="{F419DB9F-52C6-4AC8-9F32-2CF915F4E37C}">
      <formula1>"PRODUÇÃO,HOMOLOGAÇÃO,TESTES,TREINAMENTO,DESENVOLVIMENTO"</formula1>
    </dataValidation>
    <dataValidation type="list" allowBlank="1" showInputMessage="1" showErrorMessage="1" sqref="Q32:T32" xr:uid="{8B6E5B33-71F5-44AC-9913-3AD2F6F82BD8}">
      <formula1>"WINDOWS,LINUX,WINDOWS &amp; LINUX"</formula1>
    </dataValidation>
    <dataValidation type="list" allowBlank="1" showInputMessage="1" showErrorMessage="1" sqref="B157:G157" xr:uid="{E78BEAD0-1A67-4BA9-9910-E15A25A149F0}">
      <formula1>"Wilson Kempim Jr."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8A99C67B-D323-4450-B85D-98AE843810EB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7" operator="containsText" id="{FC37607F-CBDE-43C7-9E05-AD81D246B66E}">
            <xm:f>NOT(ISERROR(SEARCH("Risco de perda de dados sem o flashback!",L39)))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A8A7D0-3F98-4B8F-B233-AE3A21E7DAC7}">
          <x14:formula1>
            <xm:f>#REF!</xm:f>
          </x14:formula1>
          <xm:sqref>D28:J28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F243-6AB6-45E6-A9E5-6E2456033C4D}">
  <dimension ref="B1:T124"/>
  <sheetViews>
    <sheetView workbookViewId="0">
      <selection activeCell="Z72" sqref="Z72"/>
    </sheetView>
  </sheetViews>
  <sheetFormatPr defaultColWidth="8.88671875" defaultRowHeight="14.4" x14ac:dyDescent="0.3"/>
  <cols>
    <col min="1" max="1" width="1.6640625" customWidth="1"/>
    <col min="2" max="11" width="5.109375" customWidth="1"/>
    <col min="12" max="12" width="6.6640625" customWidth="1"/>
    <col min="13" max="20" width="5.109375" customWidth="1"/>
    <col min="21" max="22" width="1.6640625" customWidth="1"/>
    <col min="27" max="27" width="12.109375" bestFit="1" customWidth="1"/>
    <col min="28" max="28" width="107.6640625" bestFit="1" customWidth="1"/>
  </cols>
  <sheetData>
    <row r="1" spans="2:20" x14ac:dyDescent="0.3">
      <c r="B1" s="162" t="e" vm="1">
        <v>#VALUE!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2:20" x14ac:dyDescent="0.3"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2:20" x14ac:dyDescent="0.3"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</row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6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15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ht="37.5" customHeight="1" x14ac:dyDescent="0.3">
      <c r="B33" s="172" t="s">
        <v>32</v>
      </c>
      <c r="C33" s="173"/>
      <c r="D33" s="173"/>
      <c r="E33" s="173"/>
      <c r="F33" s="173"/>
      <c r="G33" s="173"/>
      <c r="H33" s="173"/>
      <c r="I33" s="43" t="s">
        <v>33</v>
      </c>
      <c r="J33" s="43"/>
      <c r="L33" s="171" t="str" cm="1">
        <f t="array" ref="L33">_xlfn.IFS(
I33="NÃO","ALERTA: necessário ter acesso à console Appmgr!",
I33="SIM","",
I33="",""
)</f>
        <v>ALERTA: necessário ter acesso à console Appmgr!</v>
      </c>
      <c r="M33" s="171"/>
      <c r="N33" s="171"/>
      <c r="O33" s="171"/>
      <c r="P33" s="171"/>
      <c r="Q33" s="171"/>
      <c r="R33" s="171"/>
      <c r="S33" s="171"/>
      <c r="T33" s="171"/>
    </row>
    <row r="34" spans="2:20" ht="35.25" customHeight="1" x14ac:dyDescent="0.3">
      <c r="B34" s="169" t="s">
        <v>34</v>
      </c>
      <c r="C34" s="170"/>
      <c r="D34" s="170"/>
      <c r="E34" s="170"/>
      <c r="F34" s="170"/>
      <c r="G34" s="170"/>
      <c r="H34" s="170"/>
      <c r="I34" s="43" t="s">
        <v>30</v>
      </c>
      <c r="J34" s="43"/>
      <c r="L34" s="171" t="str" cm="1">
        <f t="array" ref="L34">_xlfn.IFS(
I34="NÃO","",
I34="SIM","ALERTA: Evidenciar configurações dos hosts",
I34="",""
)</f>
        <v>ALERTA: Evidenciar configurações dos hosts</v>
      </c>
      <c r="M34" s="171"/>
      <c r="N34" s="171"/>
      <c r="O34" s="171"/>
      <c r="P34" s="171"/>
      <c r="Q34" s="171"/>
      <c r="R34" s="171"/>
      <c r="S34" s="171"/>
      <c r="T34" s="171"/>
    </row>
    <row r="35" spans="2:20" ht="15" customHeight="1" x14ac:dyDescent="0.3"/>
    <row r="37" spans="2:20" ht="18" x14ac:dyDescent="0.35">
      <c r="B37" s="1" t="s">
        <v>35</v>
      </c>
      <c r="C37" s="13"/>
      <c r="D37" s="13"/>
      <c r="E37" s="13"/>
      <c r="F37" s="13"/>
      <c r="L37" s="14"/>
      <c r="M37" s="14"/>
      <c r="N37" s="14"/>
      <c r="O37" s="14"/>
      <c r="P37" s="14"/>
      <c r="Q37" s="14"/>
      <c r="R37" s="14"/>
      <c r="S37" s="14"/>
      <c r="T37" s="14"/>
    </row>
    <row r="38" spans="2:20" x14ac:dyDescent="0.3">
      <c r="B38" s="54" t="s">
        <v>232</v>
      </c>
      <c r="C38" s="54"/>
      <c r="D38" s="54"/>
      <c r="E38" s="54"/>
      <c r="F38" s="54"/>
      <c r="G38" s="54"/>
      <c r="H38" s="54"/>
      <c r="I38" s="54"/>
      <c r="J38" s="54"/>
      <c r="K38" s="54"/>
      <c r="L38" s="55">
        <v>46230</v>
      </c>
      <c r="M38" s="55"/>
      <c r="N38" s="55"/>
      <c r="O38" s="55"/>
      <c r="P38" s="55"/>
      <c r="Q38" s="55"/>
      <c r="R38" s="55"/>
      <c r="S38" s="55"/>
      <c r="T38" s="55"/>
    </row>
    <row r="39" spans="2:20" x14ac:dyDescent="0.3">
      <c r="B39" s="54" t="s">
        <v>233</v>
      </c>
      <c r="C39" s="54"/>
      <c r="D39" s="54"/>
      <c r="E39" s="54"/>
      <c r="F39" s="54"/>
      <c r="G39" s="54"/>
      <c r="H39" s="54"/>
      <c r="I39" s="54"/>
      <c r="J39" s="54"/>
      <c r="K39" s="54"/>
      <c r="L39" s="56">
        <v>0.66666666666666663</v>
      </c>
      <c r="M39" s="56"/>
      <c r="N39" s="56"/>
      <c r="O39" s="56"/>
      <c r="P39" s="56"/>
      <c r="Q39" s="56"/>
      <c r="R39" s="56"/>
      <c r="S39" s="56"/>
      <c r="T39" s="56"/>
    </row>
    <row r="40" spans="2:20" x14ac:dyDescent="0.3">
      <c r="B40" s="54" t="str">
        <f>IF(L39&lt;&gt;"","Tempo total de execução:","")</f>
        <v>Tempo total de execução:</v>
      </c>
      <c r="C40" s="54"/>
      <c r="D40" s="54"/>
      <c r="E40" s="54"/>
      <c r="F40" s="54"/>
      <c r="G40" s="54"/>
      <c r="H40" s="54"/>
      <c r="I40" s="54"/>
      <c r="J40" s="54"/>
      <c r="K40" s="54"/>
      <c r="L40" s="57">
        <v>2.0833333333333332E-2</v>
      </c>
      <c r="M40" s="58"/>
      <c r="N40" s="58"/>
      <c r="O40" s="58"/>
      <c r="P40" s="58"/>
      <c r="Q40" s="58"/>
      <c r="R40" s="58"/>
      <c r="S40" s="58"/>
      <c r="T40" s="58"/>
    </row>
    <row r="41" spans="2:20" x14ac:dyDescent="0.3">
      <c r="B41" s="54" t="str">
        <f>IF(L40&lt;&gt;"","Tempo total de paralização:","")</f>
        <v>Tempo total de paralização:</v>
      </c>
      <c r="C41" s="54"/>
      <c r="D41" s="54"/>
      <c r="E41" s="54"/>
      <c r="F41" s="54"/>
      <c r="G41" s="54"/>
      <c r="H41" s="54"/>
      <c r="I41" s="54"/>
      <c r="J41" s="54"/>
      <c r="K41" s="54"/>
      <c r="L41" s="63" t="s">
        <v>234</v>
      </c>
      <c r="M41" s="64"/>
      <c r="N41" s="64"/>
      <c r="O41" s="64"/>
      <c r="P41" s="64"/>
      <c r="Q41" s="64"/>
      <c r="R41" s="64"/>
      <c r="S41" s="64"/>
      <c r="T41" s="65"/>
    </row>
    <row r="42" spans="2:20" x14ac:dyDescent="0.3">
      <c r="B42" s="54" t="str">
        <f>IF(L41&lt;&gt;"","Tempo total para testes","")</f>
        <v>Tempo total para testes</v>
      </c>
      <c r="C42" s="54"/>
      <c r="D42" s="54"/>
      <c r="E42" s="54"/>
      <c r="F42" s="54"/>
      <c r="G42" s="54"/>
      <c r="H42" s="54"/>
      <c r="I42" s="54"/>
      <c r="J42" s="54"/>
      <c r="K42" s="54"/>
      <c r="L42" s="63">
        <v>1.0416666666666666E-2</v>
      </c>
      <c r="M42" s="64"/>
      <c r="N42" s="64"/>
      <c r="O42" s="64"/>
      <c r="P42" s="64"/>
      <c r="Q42" s="64"/>
      <c r="R42" s="64"/>
      <c r="S42" s="64"/>
      <c r="T42" s="65"/>
    </row>
    <row r="43" spans="2:20" x14ac:dyDescent="0.3">
      <c r="B43" s="54" t="str">
        <f>IF(L42&lt;&gt;"","Tempo total para tentativa de correções:","")</f>
        <v>Tempo total para tentativa de correções:</v>
      </c>
      <c r="C43" s="54"/>
      <c r="D43" s="54"/>
      <c r="E43" s="54"/>
      <c r="F43" s="54"/>
      <c r="G43" s="54"/>
      <c r="H43" s="54"/>
      <c r="I43" s="54"/>
      <c r="J43" s="54"/>
      <c r="K43" s="54"/>
      <c r="L43" s="63">
        <v>2.0833333333333332E-2</v>
      </c>
      <c r="M43" s="64"/>
      <c r="N43" s="64"/>
      <c r="O43" s="64"/>
      <c r="P43" s="64"/>
      <c r="Q43" s="64"/>
      <c r="R43" s="64"/>
      <c r="S43" s="64"/>
      <c r="T43" s="65"/>
    </row>
    <row r="44" spans="2:20" x14ac:dyDescent="0.3">
      <c r="B44" s="54" t="str">
        <f>IF(L43&lt;&gt;"","Tempo total para plano de volta:","")</f>
        <v>Tempo total para plano de volta: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2.0833333333333332E-2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66"/>
      <c r="C45" s="67"/>
      <c r="D45" s="67"/>
      <c r="E45" s="68"/>
      <c r="F45" s="69"/>
      <c r="G45" s="70"/>
      <c r="H45" s="70"/>
      <c r="I45" s="70"/>
      <c r="J45" s="71"/>
    </row>
    <row r="46" spans="2:20" ht="18" x14ac:dyDescent="0.35">
      <c r="B46" s="4" t="s">
        <v>37</v>
      </c>
      <c r="C46" s="7"/>
      <c r="D46" s="7"/>
      <c r="E46" s="8"/>
      <c r="F46" s="9"/>
      <c r="G46" s="10"/>
      <c r="H46" s="10"/>
      <c r="I46" s="10"/>
      <c r="J46" s="11"/>
    </row>
    <row r="47" spans="2:20" s="19" customFormat="1" x14ac:dyDescent="0.3">
      <c r="B47" s="72" t="s">
        <v>38</v>
      </c>
      <c r="C47" s="72"/>
      <c r="D47" s="72"/>
      <c r="E47" s="72"/>
      <c r="F47" s="72"/>
      <c r="G47" s="72"/>
      <c r="H47" s="72"/>
      <c r="I47" s="73" t="s">
        <v>39</v>
      </c>
      <c r="J47" s="73"/>
      <c r="K47" s="73"/>
      <c r="L47" s="73" t="s">
        <v>40</v>
      </c>
      <c r="M47" s="73"/>
      <c r="N47" s="72" t="s">
        <v>41</v>
      </c>
      <c r="O47" s="72"/>
      <c r="P47" s="72"/>
      <c r="Q47" s="72"/>
      <c r="R47" s="72"/>
      <c r="S47" s="72"/>
      <c r="T47" s="72"/>
    </row>
    <row r="48" spans="2:20" s="19" customFormat="1" ht="15" customHeight="1" x14ac:dyDescent="0.3">
      <c r="B48" s="100" t="s">
        <v>42</v>
      </c>
      <c r="C48" s="101"/>
      <c r="D48" s="101"/>
      <c r="E48" s="101"/>
      <c r="F48" s="101"/>
      <c r="G48" s="101"/>
      <c r="H48" s="102"/>
      <c r="I48" s="80" t="s">
        <v>43</v>
      </c>
      <c r="J48" s="81"/>
      <c r="K48" s="82"/>
      <c r="L48" s="80" t="s">
        <v>44</v>
      </c>
      <c r="M48" s="82"/>
      <c r="N48" s="100" t="s">
        <v>45</v>
      </c>
      <c r="O48" s="101"/>
      <c r="P48" s="101"/>
      <c r="Q48" s="101"/>
      <c r="R48" s="101"/>
      <c r="S48" s="101"/>
      <c r="T48" s="102"/>
    </row>
    <row r="49" spans="2:20" s="19" customFormat="1" ht="26.25" customHeight="1" x14ac:dyDescent="0.3">
      <c r="B49" s="74" t="s">
        <v>235</v>
      </c>
      <c r="C49" s="74"/>
      <c r="D49" s="74"/>
      <c r="E49" s="74"/>
      <c r="F49" s="74"/>
      <c r="G49" s="74"/>
      <c r="H49" s="74"/>
      <c r="I49" s="75" t="s">
        <v>43</v>
      </c>
      <c r="J49" s="75"/>
      <c r="K49" s="75"/>
      <c r="L49" s="75" t="s">
        <v>44</v>
      </c>
      <c r="M49" s="75"/>
      <c r="N49" s="100" t="s">
        <v>45</v>
      </c>
      <c r="O49" s="101"/>
      <c r="P49" s="101"/>
      <c r="Q49" s="101"/>
      <c r="R49" s="101"/>
      <c r="S49" s="101"/>
      <c r="T49" s="102"/>
    </row>
    <row r="50" spans="2:20" s="19" customFormat="1" ht="42.75" customHeight="1" x14ac:dyDescent="0.3">
      <c r="B50" s="74" t="s">
        <v>236</v>
      </c>
      <c r="C50" s="74"/>
      <c r="D50" s="74"/>
      <c r="E50" s="74"/>
      <c r="F50" s="74"/>
      <c r="G50" s="74"/>
      <c r="H50" s="74"/>
      <c r="I50" s="75" t="s">
        <v>43</v>
      </c>
      <c r="J50" s="75"/>
      <c r="K50" s="75"/>
      <c r="L50" s="75" t="s">
        <v>44</v>
      </c>
      <c r="M50" s="75"/>
      <c r="N50" s="100" t="s">
        <v>45</v>
      </c>
      <c r="O50" s="101"/>
      <c r="P50" s="101"/>
      <c r="Q50" s="101"/>
      <c r="R50" s="101"/>
      <c r="S50" s="101"/>
      <c r="T50" s="102"/>
    </row>
    <row r="51" spans="2:20" s="19" customFormat="1" x14ac:dyDescent="0.3">
      <c r="B51" s="74" t="s">
        <v>237</v>
      </c>
      <c r="C51" s="74"/>
      <c r="D51" s="74"/>
      <c r="E51" s="74"/>
      <c r="F51" s="74"/>
      <c r="G51" s="74"/>
      <c r="H51" s="74"/>
      <c r="I51" s="75" t="s">
        <v>43</v>
      </c>
      <c r="J51" s="75"/>
      <c r="K51" s="75"/>
      <c r="L51" s="75" t="s">
        <v>44</v>
      </c>
      <c r="M51" s="75"/>
      <c r="N51" s="100" t="s">
        <v>45</v>
      </c>
      <c r="O51" s="101"/>
      <c r="P51" s="101"/>
      <c r="Q51" s="101"/>
      <c r="R51" s="101"/>
      <c r="S51" s="101"/>
      <c r="T51" s="102"/>
    </row>
    <row r="52" spans="2:20" s="19" customFormat="1" x14ac:dyDescent="0.3">
      <c r="B52" s="74"/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4"/>
      <c r="O52" s="74"/>
      <c r="P52" s="74"/>
      <c r="Q52" s="74"/>
      <c r="R52" s="74"/>
      <c r="S52" s="74"/>
      <c r="T52" s="74"/>
    </row>
    <row r="56" spans="2:20" ht="18" x14ac:dyDescent="0.35">
      <c r="B56" s="4" t="s">
        <v>46</v>
      </c>
    </row>
    <row r="57" spans="2:20" s="19" customFormat="1" x14ac:dyDescent="0.3">
      <c r="B57" s="72" t="s">
        <v>47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3" t="s">
        <v>48</v>
      </c>
      <c r="N57" s="73"/>
      <c r="O57" s="73"/>
      <c r="P57" s="73" t="s">
        <v>49</v>
      </c>
      <c r="Q57" s="73"/>
      <c r="R57" s="73"/>
      <c r="S57" s="73"/>
      <c r="T57" s="73"/>
    </row>
    <row r="58" spans="2:20" s="19" customFormat="1" ht="15" customHeight="1" x14ac:dyDescent="0.3">
      <c r="B58" s="76" t="s">
        <v>238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7" t="s">
        <v>51</v>
      </c>
      <c r="N58" s="77"/>
      <c r="O58" s="77"/>
      <c r="P58" s="77" t="str">
        <f t="shared" ref="P58:P60" si="0">$D$28</f>
        <v>Murilo Moraes</v>
      </c>
      <c r="Q58" s="77"/>
      <c r="R58" s="77"/>
      <c r="S58" s="77"/>
      <c r="T58" s="77"/>
    </row>
    <row r="59" spans="2:20" s="19" customFormat="1" ht="15" customHeight="1" x14ac:dyDescent="0.3">
      <c r="B59" s="76" t="s">
        <v>239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7" t="s">
        <v>51</v>
      </c>
      <c r="N59" s="77"/>
      <c r="O59" s="77"/>
      <c r="P59" s="77" t="str">
        <f t="shared" si="0"/>
        <v>Murilo Moraes</v>
      </c>
      <c r="Q59" s="77"/>
      <c r="R59" s="77"/>
      <c r="S59" s="77"/>
      <c r="T59" s="77"/>
    </row>
    <row r="60" spans="2:20" s="19" customFormat="1" ht="15" customHeight="1" x14ac:dyDescent="0.3">
      <c r="B60" s="76" t="s">
        <v>240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7" t="s">
        <v>51</v>
      </c>
      <c r="N60" s="77"/>
      <c r="O60" s="77"/>
      <c r="P60" s="77" t="str">
        <f t="shared" si="0"/>
        <v>Murilo Moraes</v>
      </c>
      <c r="Q60" s="77"/>
      <c r="R60" s="77"/>
      <c r="S60" s="77"/>
      <c r="T60" s="77"/>
    </row>
    <row r="61" spans="2:20" s="19" customFormat="1" x14ac:dyDescent="0.3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7"/>
      <c r="N61" s="77"/>
      <c r="O61" s="77"/>
      <c r="P61" s="77"/>
      <c r="Q61" s="77"/>
      <c r="R61" s="77"/>
      <c r="S61" s="77"/>
      <c r="T61" s="77"/>
    </row>
    <row r="63" spans="2:20" ht="18" x14ac:dyDescent="0.35">
      <c r="B63" s="4" t="s">
        <v>54</v>
      </c>
    </row>
    <row r="64" spans="2:20" ht="15" customHeight="1" x14ac:dyDescent="0.3">
      <c r="B64" s="83" t="s">
        <v>55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</row>
    <row r="65" spans="2:20" x14ac:dyDescent="0.3">
      <c r="B65" s="84" t="s">
        <v>47</v>
      </c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5" t="s">
        <v>56</v>
      </c>
      <c r="N65" s="85"/>
      <c r="O65" s="85"/>
      <c r="P65" s="86" t="s">
        <v>49</v>
      </c>
      <c r="Q65" s="87"/>
      <c r="R65" s="87"/>
      <c r="S65" s="87"/>
      <c r="T65" s="88"/>
    </row>
    <row r="66" spans="2:20" s="19" customFormat="1" ht="15" customHeight="1" x14ac:dyDescent="0.3">
      <c r="B66" s="89" t="s">
        <v>241</v>
      </c>
      <c r="C66" s="90"/>
      <c r="D66" s="90"/>
      <c r="E66" s="90"/>
      <c r="F66" s="90"/>
      <c r="G66" s="90"/>
      <c r="H66" s="90"/>
      <c r="I66" s="90"/>
      <c r="J66" s="90"/>
      <c r="K66" s="90"/>
      <c r="L66" s="91"/>
      <c r="M66" s="79" t="s">
        <v>33</v>
      </c>
      <c r="N66" s="79"/>
      <c r="O66" s="79"/>
      <c r="P66" s="77" t="str">
        <f t="shared" ref="P66:P70" si="1">$D$28</f>
        <v>Murilo Moraes</v>
      </c>
      <c r="Q66" s="77"/>
      <c r="R66" s="77"/>
      <c r="S66" s="77"/>
      <c r="T66" s="77"/>
    </row>
    <row r="67" spans="2:20" s="15" customFormat="1" ht="32.25" customHeight="1" x14ac:dyDescent="0.3">
      <c r="B67" s="74" t="s">
        <v>242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9" t="s">
        <v>33</v>
      </c>
      <c r="N67" s="79"/>
      <c r="O67" s="79"/>
      <c r="P67" s="77" t="str">
        <f t="shared" si="1"/>
        <v>Murilo Moraes</v>
      </c>
      <c r="Q67" s="77"/>
      <c r="R67" s="77"/>
      <c r="S67" s="77"/>
      <c r="T67" s="77"/>
    </row>
    <row r="68" spans="2:20" s="15" customFormat="1" ht="15" customHeight="1" x14ac:dyDescent="0.3">
      <c r="B68" s="74" t="s">
        <v>243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9" t="s">
        <v>33</v>
      </c>
      <c r="N68" s="79"/>
      <c r="O68" s="79"/>
      <c r="P68" s="77" t="str">
        <f t="shared" si="1"/>
        <v>Murilo Moraes</v>
      </c>
      <c r="Q68" s="77"/>
      <c r="R68" s="77"/>
      <c r="S68" s="77"/>
      <c r="T68" s="77"/>
    </row>
    <row r="69" spans="2:20" s="15" customFormat="1" ht="15" customHeight="1" x14ac:dyDescent="0.3">
      <c r="B69" s="74" t="s">
        <v>244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9" t="s">
        <v>33</v>
      </c>
      <c r="N69" s="79"/>
      <c r="O69" s="79"/>
      <c r="P69" s="77" t="str">
        <f t="shared" si="1"/>
        <v>Murilo Moraes</v>
      </c>
      <c r="Q69" s="77"/>
      <c r="R69" s="77"/>
      <c r="S69" s="77"/>
      <c r="T69" s="77"/>
    </row>
    <row r="70" spans="2:20" s="19" customFormat="1" ht="15.75" customHeight="1" x14ac:dyDescent="0.3">
      <c r="B70" s="76" t="s">
        <v>245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9" t="s">
        <v>33</v>
      </c>
      <c r="N70" s="79"/>
      <c r="O70" s="79"/>
      <c r="P70" s="77" t="str">
        <f t="shared" si="1"/>
        <v>Murilo Moraes</v>
      </c>
      <c r="Q70" s="77"/>
      <c r="R70" s="77"/>
      <c r="S70" s="77"/>
      <c r="T70" s="77"/>
    </row>
    <row r="71" spans="2:20" s="19" customFormat="1" x14ac:dyDescent="0.3">
      <c r="B71" s="76" t="s">
        <v>246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9" t="s">
        <v>33</v>
      </c>
      <c r="N71" s="79"/>
      <c r="O71" s="79"/>
      <c r="P71" s="92" t="s">
        <v>247</v>
      </c>
      <c r="Q71" s="93"/>
      <c r="R71" s="93"/>
      <c r="S71" s="93"/>
      <c r="T71" s="94"/>
    </row>
    <row r="72" spans="2:20" s="19" customFormat="1" ht="15.75" customHeight="1" x14ac:dyDescent="0.3">
      <c r="B72" s="89" t="s">
        <v>248</v>
      </c>
      <c r="C72" s="90"/>
      <c r="D72" s="90"/>
      <c r="E72" s="90"/>
      <c r="F72" s="90"/>
      <c r="G72" s="90"/>
      <c r="H72" s="90"/>
      <c r="I72" s="90"/>
      <c r="J72" s="90"/>
      <c r="K72" s="90"/>
      <c r="L72" s="91"/>
      <c r="M72" s="79" t="s">
        <v>33</v>
      </c>
      <c r="N72" s="79"/>
      <c r="O72" s="79"/>
      <c r="P72" s="77" t="str">
        <f>$D$28</f>
        <v>Murilo Moraes</v>
      </c>
      <c r="Q72" s="77"/>
      <c r="R72" s="77"/>
      <c r="S72" s="77"/>
      <c r="T72" s="77"/>
    </row>
    <row r="73" spans="2:20" s="19" customFormat="1" x14ac:dyDescent="0.3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9"/>
      <c r="N73" s="79"/>
      <c r="O73" s="79"/>
      <c r="P73" s="92"/>
      <c r="Q73" s="93"/>
      <c r="R73" s="93"/>
      <c r="S73" s="93"/>
      <c r="T73" s="94"/>
    </row>
    <row r="75" spans="2:20" ht="18" x14ac:dyDescent="0.35">
      <c r="B75" s="4" t="s">
        <v>57</v>
      </c>
    </row>
    <row r="76" spans="2:20" x14ac:dyDescent="0.3">
      <c r="B76" s="83" t="s">
        <v>58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</row>
    <row r="77" spans="2:20" x14ac:dyDescent="0.3"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</row>
    <row r="78" spans="2:20" x14ac:dyDescent="0.3">
      <c r="B78" s="84" t="s">
        <v>47</v>
      </c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97" t="s">
        <v>59</v>
      </c>
      <c r="N78" s="97"/>
      <c r="O78" s="97"/>
      <c r="P78" s="86" t="s">
        <v>49</v>
      </c>
      <c r="Q78" s="87"/>
      <c r="R78" s="87"/>
      <c r="S78" s="87"/>
      <c r="T78" s="88"/>
    </row>
    <row r="79" spans="2:20" s="12" customFormat="1" ht="15" customHeight="1" x14ac:dyDescent="0.3">
      <c r="B79" s="74" t="s">
        <v>249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99">
        <v>2.0833333333333332E-2</v>
      </c>
      <c r="N79" s="77"/>
      <c r="O79" s="77"/>
      <c r="P79" s="92" t="str">
        <f>$D$28</f>
        <v>Murilo Moraes</v>
      </c>
      <c r="Q79" s="93"/>
      <c r="R79" s="93"/>
      <c r="S79" s="93"/>
      <c r="T79" s="94"/>
    </row>
    <row r="80" spans="2:20" s="12" customFormat="1" ht="13.8" x14ac:dyDescent="0.3">
      <c r="B80" s="100"/>
      <c r="C80" s="101"/>
      <c r="D80" s="101"/>
      <c r="E80" s="101"/>
      <c r="F80" s="101"/>
      <c r="G80" s="101"/>
      <c r="H80" s="101"/>
      <c r="I80" s="101"/>
      <c r="J80" s="101"/>
      <c r="K80" s="101"/>
      <c r="L80" s="102"/>
      <c r="M80" s="99"/>
      <c r="N80" s="77"/>
      <c r="O80" s="77"/>
      <c r="P80" s="92"/>
      <c r="Q80" s="93"/>
      <c r="R80" s="93"/>
      <c r="S80" s="93"/>
      <c r="T80" s="94"/>
    </row>
    <row r="81" spans="2:20" s="12" customFormat="1" ht="15" customHeight="1" x14ac:dyDescent="0.35">
      <c r="B81" s="4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2:20" x14ac:dyDescent="0.3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2:20" ht="15" customHeight="1" x14ac:dyDescent="0.35">
      <c r="B83" s="4" t="s">
        <v>64</v>
      </c>
      <c r="C83" s="5"/>
      <c r="D83" s="5"/>
      <c r="E83" s="5"/>
      <c r="F83" s="5"/>
      <c r="G83" s="5"/>
      <c r="H83" s="5"/>
      <c r="I83" s="5"/>
      <c r="J83" s="5"/>
    </row>
    <row r="84" spans="2:20" x14ac:dyDescent="0.3">
      <c r="B84" s="109" t="s">
        <v>0</v>
      </c>
      <c r="C84" s="110"/>
      <c r="D84" s="110"/>
      <c r="E84" s="110"/>
      <c r="F84" s="110"/>
      <c r="G84" s="110"/>
      <c r="H84" s="111"/>
      <c r="I84" s="109" t="s">
        <v>65</v>
      </c>
      <c r="J84" s="110"/>
      <c r="K84" s="110"/>
      <c r="L84" s="111"/>
      <c r="M84" s="86" t="s">
        <v>66</v>
      </c>
      <c r="N84" s="87"/>
      <c r="O84" s="87"/>
      <c r="P84" s="88"/>
      <c r="Q84" s="86" t="s">
        <v>1</v>
      </c>
      <c r="R84" s="87"/>
      <c r="S84" s="87"/>
      <c r="T84" s="88"/>
    </row>
    <row r="85" spans="2:20" ht="15" customHeight="1" x14ac:dyDescent="0.3">
      <c r="B85" s="103" t="s">
        <v>67</v>
      </c>
      <c r="C85" s="104"/>
      <c r="D85" s="104"/>
      <c r="E85" s="104"/>
      <c r="F85" s="104"/>
      <c r="G85" s="104"/>
      <c r="H85" s="105"/>
      <c r="I85" s="103" t="s">
        <v>68</v>
      </c>
      <c r="J85" s="104"/>
      <c r="K85" s="104"/>
      <c r="L85" s="105"/>
      <c r="M85" s="106" t="s">
        <v>53</v>
      </c>
      <c r="N85" s="107"/>
      <c r="O85" s="107"/>
      <c r="P85" s="108"/>
      <c r="Q85" s="106" t="s">
        <v>2</v>
      </c>
      <c r="R85" s="107"/>
      <c r="S85" s="107"/>
      <c r="T85" s="108"/>
    </row>
    <row r="86" spans="2:20" x14ac:dyDescent="0.3">
      <c r="B86" s="103" t="s">
        <v>69</v>
      </c>
      <c r="C86" s="104"/>
      <c r="D86" s="104"/>
      <c r="E86" s="104"/>
      <c r="F86" s="104"/>
      <c r="G86" s="104"/>
      <c r="H86" s="105"/>
      <c r="I86" s="103" t="s">
        <v>70</v>
      </c>
      <c r="J86" s="104"/>
      <c r="K86" s="104"/>
      <c r="L86" s="105"/>
      <c r="M86" s="106" t="s">
        <v>53</v>
      </c>
      <c r="N86" s="107"/>
      <c r="O86" s="107"/>
      <c r="P86" s="108"/>
      <c r="Q86" s="106" t="s">
        <v>5</v>
      </c>
      <c r="R86" s="107"/>
      <c r="S86" s="107"/>
      <c r="T86" s="108"/>
    </row>
    <row r="88" spans="2:20" ht="18" x14ac:dyDescent="0.35">
      <c r="B88" s="4" t="s">
        <v>71</v>
      </c>
      <c r="C88" s="5"/>
      <c r="D88" s="5"/>
      <c r="E88" s="5"/>
      <c r="F88" s="5"/>
      <c r="G88" s="5"/>
      <c r="H88" s="5"/>
      <c r="I88" s="5"/>
      <c r="J88" s="5"/>
    </row>
    <row r="89" spans="2:20" x14ac:dyDescent="0.3">
      <c r="B89" s="121" t="s">
        <v>72</v>
      </c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3"/>
    </row>
    <row r="90" spans="2:20" x14ac:dyDescent="0.3">
      <c r="B90" s="124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6"/>
    </row>
    <row r="91" spans="2:20" x14ac:dyDescent="0.3">
      <c r="B91" s="127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9"/>
    </row>
    <row r="92" spans="2:20" x14ac:dyDescent="0.3">
      <c r="B92" s="127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9"/>
    </row>
    <row r="93" spans="2:20" x14ac:dyDescent="0.3">
      <c r="B93" s="127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9"/>
    </row>
    <row r="94" spans="2:20" x14ac:dyDescent="0.3">
      <c r="B94" s="127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9"/>
    </row>
    <row r="95" spans="2:20" x14ac:dyDescent="0.3">
      <c r="B95" s="127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9"/>
    </row>
    <row r="96" spans="2:20" x14ac:dyDescent="0.3">
      <c r="B96" s="127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9"/>
    </row>
    <row r="97" spans="2:20" x14ac:dyDescent="0.3">
      <c r="B97" s="127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9"/>
    </row>
    <row r="98" spans="2:20" x14ac:dyDescent="0.3">
      <c r="B98" s="127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9"/>
    </row>
    <row r="99" spans="2:20" x14ac:dyDescent="0.3">
      <c r="B99" s="127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9"/>
    </row>
    <row r="100" spans="2:20" x14ac:dyDescent="0.3">
      <c r="B100" s="127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9"/>
    </row>
    <row r="101" spans="2:20" x14ac:dyDescent="0.3">
      <c r="B101" s="127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9"/>
    </row>
    <row r="102" spans="2:20" x14ac:dyDescent="0.3">
      <c r="B102" s="127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9"/>
    </row>
    <row r="103" spans="2:20" x14ac:dyDescent="0.3">
      <c r="B103" s="127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9"/>
    </row>
    <row r="104" spans="2:20" x14ac:dyDescent="0.3">
      <c r="B104" s="127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9"/>
    </row>
    <row r="105" spans="2:20" x14ac:dyDescent="0.3">
      <c r="B105" s="127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9"/>
    </row>
    <row r="106" spans="2:20" x14ac:dyDescent="0.3">
      <c r="B106" s="127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9"/>
    </row>
    <row r="107" spans="2:20" x14ac:dyDescent="0.3">
      <c r="B107" s="127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9"/>
    </row>
    <row r="108" spans="2:20" x14ac:dyDescent="0.3">
      <c r="B108" s="127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9"/>
    </row>
    <row r="109" spans="2:20" x14ac:dyDescent="0.3">
      <c r="B109" s="127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9"/>
    </row>
    <row r="110" spans="2:20" x14ac:dyDescent="0.3">
      <c r="B110" s="127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9"/>
    </row>
    <row r="111" spans="2:20" x14ac:dyDescent="0.3">
      <c r="B111" s="127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9"/>
    </row>
    <row r="112" spans="2:20" x14ac:dyDescent="0.3">
      <c r="B112" s="127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9"/>
    </row>
    <row r="113" spans="2:20" x14ac:dyDescent="0.3">
      <c r="B113" s="127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9"/>
    </row>
    <row r="114" spans="2:20" x14ac:dyDescent="0.3">
      <c r="B114" s="127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9"/>
    </row>
    <row r="115" spans="2:20" x14ac:dyDescent="0.3">
      <c r="B115" s="127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9"/>
    </row>
    <row r="116" spans="2:20" x14ac:dyDescent="0.3">
      <c r="B116" s="127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9"/>
    </row>
    <row r="117" spans="2:20" x14ac:dyDescent="0.3">
      <c r="B117" s="127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9"/>
    </row>
    <row r="118" spans="2:20" x14ac:dyDescent="0.3">
      <c r="B118" s="127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9"/>
    </row>
    <row r="119" spans="2:20" x14ac:dyDescent="0.3">
      <c r="B119" s="127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9"/>
    </row>
    <row r="120" spans="2:20" x14ac:dyDescent="0.3">
      <c r="B120" s="127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9"/>
    </row>
    <row r="121" spans="2:20" x14ac:dyDescent="0.3">
      <c r="B121" s="127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9"/>
    </row>
    <row r="122" spans="2:20" ht="18" x14ac:dyDescent="0.35">
      <c r="B122" s="4" t="s">
        <v>74</v>
      </c>
    </row>
    <row r="123" spans="2:20" x14ac:dyDescent="0.3">
      <c r="B123" s="109" t="s">
        <v>0</v>
      </c>
      <c r="C123" s="110"/>
      <c r="D123" s="110"/>
      <c r="E123" s="110"/>
      <c r="F123" s="110"/>
      <c r="G123" s="111"/>
      <c r="H123" s="109" t="s">
        <v>65</v>
      </c>
      <c r="I123" s="110"/>
      <c r="J123" s="110"/>
      <c r="K123" s="110"/>
      <c r="L123" s="111"/>
      <c r="M123" s="97" t="s">
        <v>66</v>
      </c>
      <c r="N123" s="97"/>
      <c r="O123" s="97"/>
      <c r="P123" s="97"/>
      <c r="Q123" s="86" t="s">
        <v>75</v>
      </c>
      <c r="R123" s="87"/>
      <c r="S123" s="87"/>
      <c r="T123" s="88"/>
    </row>
    <row r="124" spans="2:20" x14ac:dyDescent="0.3">
      <c r="B124" s="112" t="s">
        <v>67</v>
      </c>
      <c r="C124" s="113"/>
      <c r="D124" s="113"/>
      <c r="E124" s="113"/>
      <c r="F124" s="113"/>
      <c r="G124" s="114"/>
      <c r="H124" s="115" t="s">
        <v>76</v>
      </c>
      <c r="I124" s="116"/>
      <c r="J124" s="116"/>
      <c r="K124" s="116"/>
      <c r="L124" s="117"/>
      <c r="M124" s="118" t="s">
        <v>53</v>
      </c>
      <c r="N124" s="119"/>
      <c r="O124" s="119"/>
      <c r="P124" s="120"/>
      <c r="Q124" s="118" t="s">
        <v>250</v>
      </c>
      <c r="R124" s="119"/>
      <c r="S124" s="119"/>
      <c r="T124" s="120"/>
    </row>
  </sheetData>
  <mergeCells count="162">
    <mergeCell ref="B1:T3"/>
    <mergeCell ref="B5:I5"/>
    <mergeCell ref="J5:T5"/>
    <mergeCell ref="B6:I6"/>
    <mergeCell ref="J6:T6"/>
    <mergeCell ref="B7:I7"/>
    <mergeCell ref="J7:T7"/>
    <mergeCell ref="B15:J15"/>
    <mergeCell ref="K15:T15"/>
    <mergeCell ref="B16:J16"/>
    <mergeCell ref="K16:T16"/>
    <mergeCell ref="B17:J17"/>
    <mergeCell ref="K17:T17"/>
    <mergeCell ref="B10:F10"/>
    <mergeCell ref="G10:T10"/>
    <mergeCell ref="B11:F11"/>
    <mergeCell ref="G11:T11"/>
    <mergeCell ref="B12:F12"/>
    <mergeCell ref="G12:T12"/>
    <mergeCell ref="D24:J24"/>
    <mergeCell ref="L24:M24"/>
    <mergeCell ref="N24:T24"/>
    <mergeCell ref="D25:J25"/>
    <mergeCell ref="L25:M25"/>
    <mergeCell ref="N25:T25"/>
    <mergeCell ref="B18:J18"/>
    <mergeCell ref="K18:T18"/>
    <mergeCell ref="B19:J19"/>
    <mergeCell ref="K19:T19"/>
    <mergeCell ref="B20:J20"/>
    <mergeCell ref="K20:T20"/>
    <mergeCell ref="B32:F32"/>
    <mergeCell ref="G32:J32"/>
    <mergeCell ref="L32:P32"/>
    <mergeCell ref="Q32:T32"/>
    <mergeCell ref="B33:H33"/>
    <mergeCell ref="I33:J33"/>
    <mergeCell ref="L33:T33"/>
    <mergeCell ref="D28:J28"/>
    <mergeCell ref="L28:M28"/>
    <mergeCell ref="N28:T28"/>
    <mergeCell ref="D29:J29"/>
    <mergeCell ref="L29:M29"/>
    <mergeCell ref="N29:T29"/>
    <mergeCell ref="B40:K40"/>
    <mergeCell ref="L40:T40"/>
    <mergeCell ref="B41:K41"/>
    <mergeCell ref="L41:T41"/>
    <mergeCell ref="B42:K42"/>
    <mergeCell ref="L42:T42"/>
    <mergeCell ref="B34:H34"/>
    <mergeCell ref="I34:J34"/>
    <mergeCell ref="L34:T34"/>
    <mergeCell ref="B38:K38"/>
    <mergeCell ref="L38:T38"/>
    <mergeCell ref="B39:K39"/>
    <mergeCell ref="L39:T39"/>
    <mergeCell ref="B47:H47"/>
    <mergeCell ref="I47:K47"/>
    <mergeCell ref="L47:M47"/>
    <mergeCell ref="N47:T47"/>
    <mergeCell ref="B48:H48"/>
    <mergeCell ref="I48:K48"/>
    <mergeCell ref="L48:M48"/>
    <mergeCell ref="N48:T48"/>
    <mergeCell ref="B43:K43"/>
    <mergeCell ref="L43:T43"/>
    <mergeCell ref="B44:K44"/>
    <mergeCell ref="L44:T44"/>
    <mergeCell ref="B45:E45"/>
    <mergeCell ref="F45:J45"/>
    <mergeCell ref="B51:H51"/>
    <mergeCell ref="I51:K51"/>
    <mergeCell ref="L51:M51"/>
    <mergeCell ref="N51:T51"/>
    <mergeCell ref="B52:H52"/>
    <mergeCell ref="I52:K52"/>
    <mergeCell ref="L52:M52"/>
    <mergeCell ref="N52:T52"/>
    <mergeCell ref="B49:H49"/>
    <mergeCell ref="I49:K49"/>
    <mergeCell ref="L49:M49"/>
    <mergeCell ref="N49:T49"/>
    <mergeCell ref="B50:H50"/>
    <mergeCell ref="I50:K50"/>
    <mergeCell ref="L50:M50"/>
    <mergeCell ref="N50:T50"/>
    <mergeCell ref="B59:L59"/>
    <mergeCell ref="M59:O59"/>
    <mergeCell ref="P59:T59"/>
    <mergeCell ref="B60:L60"/>
    <mergeCell ref="M60:O60"/>
    <mergeCell ref="P60:T60"/>
    <mergeCell ref="B57:L57"/>
    <mergeCell ref="M57:O57"/>
    <mergeCell ref="P57:T57"/>
    <mergeCell ref="B58:L58"/>
    <mergeCell ref="M58:O58"/>
    <mergeCell ref="P58:T58"/>
    <mergeCell ref="B66:L66"/>
    <mergeCell ref="M66:O66"/>
    <mergeCell ref="P66:T66"/>
    <mergeCell ref="B67:L67"/>
    <mergeCell ref="M67:O67"/>
    <mergeCell ref="P67:T67"/>
    <mergeCell ref="B61:L61"/>
    <mergeCell ref="M61:O61"/>
    <mergeCell ref="P61:T61"/>
    <mergeCell ref="B64:T64"/>
    <mergeCell ref="B65:L65"/>
    <mergeCell ref="M65:O65"/>
    <mergeCell ref="P65:T65"/>
    <mergeCell ref="B70:L70"/>
    <mergeCell ref="M70:O70"/>
    <mergeCell ref="P70:T70"/>
    <mergeCell ref="B71:L71"/>
    <mergeCell ref="M71:O71"/>
    <mergeCell ref="P71:T71"/>
    <mergeCell ref="B68:L68"/>
    <mergeCell ref="M68:O68"/>
    <mergeCell ref="P68:T68"/>
    <mergeCell ref="B69:L69"/>
    <mergeCell ref="M69:O69"/>
    <mergeCell ref="P69:T69"/>
    <mergeCell ref="B76:T77"/>
    <mergeCell ref="B78:L78"/>
    <mergeCell ref="M78:O78"/>
    <mergeCell ref="P78:T78"/>
    <mergeCell ref="B79:L79"/>
    <mergeCell ref="M79:O79"/>
    <mergeCell ref="P79:T79"/>
    <mergeCell ref="B72:L72"/>
    <mergeCell ref="M72:O72"/>
    <mergeCell ref="P72:T72"/>
    <mergeCell ref="B73:L73"/>
    <mergeCell ref="M73:O73"/>
    <mergeCell ref="P73:T73"/>
    <mergeCell ref="B85:H85"/>
    <mergeCell ref="I85:L85"/>
    <mergeCell ref="M85:P85"/>
    <mergeCell ref="Q85:T85"/>
    <mergeCell ref="B86:H86"/>
    <mergeCell ref="I86:L86"/>
    <mergeCell ref="M86:P86"/>
    <mergeCell ref="Q86:T86"/>
    <mergeCell ref="B80:L80"/>
    <mergeCell ref="M80:O80"/>
    <mergeCell ref="P80:T80"/>
    <mergeCell ref="B84:H84"/>
    <mergeCell ref="I84:L84"/>
    <mergeCell ref="M84:P84"/>
    <mergeCell ref="Q84:T84"/>
    <mergeCell ref="B124:G124"/>
    <mergeCell ref="H124:L124"/>
    <mergeCell ref="M124:P124"/>
    <mergeCell ref="Q124:T124"/>
    <mergeCell ref="B89:T89"/>
    <mergeCell ref="B90:T121"/>
    <mergeCell ref="B123:G123"/>
    <mergeCell ref="H123:L123"/>
    <mergeCell ref="M123:P123"/>
    <mergeCell ref="Q123:T123"/>
  </mergeCells>
  <conditionalFormatting sqref="B38:B44">
    <cfRule type="notContainsBlanks" dxfId="153" priority="31">
      <formula>LEN(TRIM(B38))&gt;0</formula>
    </cfRule>
  </conditionalFormatting>
  <conditionalFormatting sqref="D24:J25">
    <cfRule type="containsBlanks" dxfId="152" priority="12">
      <formula>LEN(TRIM(D24))=0</formula>
    </cfRule>
  </conditionalFormatting>
  <conditionalFormatting sqref="D28:J29">
    <cfRule type="containsBlanks" dxfId="151" priority="2">
      <formula>LEN(TRIM(D28))=0</formula>
    </cfRule>
  </conditionalFormatting>
  <conditionalFormatting sqref="G32:J32">
    <cfRule type="containsBlanks" dxfId="150" priority="8">
      <formula>LEN(TRIM(G32))=0</formula>
    </cfRule>
  </conditionalFormatting>
  <conditionalFormatting sqref="G10:T10">
    <cfRule type="containsBlanks" dxfId="149" priority="15">
      <formula>LEN(TRIM(G10))=0</formula>
    </cfRule>
  </conditionalFormatting>
  <conditionalFormatting sqref="G11:T12">
    <cfRule type="containsBlanks" dxfId="148" priority="26">
      <formula>LEN(TRIM(G11))=0</formula>
    </cfRule>
  </conditionalFormatting>
  <conditionalFormatting sqref="I33:I34">
    <cfRule type="containsBlanks" dxfId="147" priority="7">
      <formula>LEN(TRIM(I33))=0</formula>
    </cfRule>
  </conditionalFormatting>
  <conditionalFormatting sqref="J5:T5">
    <cfRule type="containsText" dxfId="146" priority="30" operator="containsText" text="Nome do Cliente">
      <formula>NOT(ISERROR(SEARCH("Nome do Cliente",J5)))</formula>
    </cfRule>
  </conditionalFormatting>
  <conditionalFormatting sqref="J5:T7">
    <cfRule type="containsBlanks" dxfId="145" priority="28">
      <formula>LEN(TRIM(J5))=0</formula>
    </cfRule>
  </conditionalFormatting>
  <conditionalFormatting sqref="J6:T6">
    <cfRule type="containsText" dxfId="144" priority="29" operator="containsText" text="01/01/2023">
      <formula>NOT(ISERROR(SEARCH("01/01/2023",J6)))</formula>
    </cfRule>
  </conditionalFormatting>
  <conditionalFormatting sqref="J7:T7">
    <cfRule type="containsText" dxfId="143" priority="27" operator="containsText" text="Nome do solicitante">
      <formula>NOT(ISERROR(SEARCH("Nome do solicitante",J7)))</formula>
    </cfRule>
  </conditionalFormatting>
  <conditionalFormatting sqref="L37">
    <cfRule type="notContainsBlanks" dxfId="141" priority="33">
      <formula>LEN(TRIM(L37))&gt;0</formula>
    </cfRule>
  </conditionalFormatting>
  <conditionalFormatting sqref="L33:T34">
    <cfRule type="beginsWith" dxfId="140" priority="4" operator="beginsWith" text="ABORTAR">
      <formula>LEFT(L33,LEN("ABORTAR"))="ABORTAR"</formula>
    </cfRule>
    <cfRule type="beginsWith" dxfId="139" priority="5" operator="beginsWith" text="Print">
      <formula>LEFT(L33,LEN("Print"))="Print"</formula>
    </cfRule>
    <cfRule type="beginsWith" dxfId="138" priority="6" operator="beginsWith" text="ALERTA">
      <formula>LEFT(L33,LEN("ALERTA"))="ALERTA"</formula>
    </cfRule>
  </conditionalFormatting>
  <conditionalFormatting sqref="L38:T38">
    <cfRule type="expression" dxfId="137" priority="24">
      <formula>AND($B$38&lt;&gt;"",$L$38="")</formula>
    </cfRule>
    <cfRule type="expression" dxfId="136" priority="25">
      <formula>$B$38&lt;&gt;""</formula>
    </cfRule>
  </conditionalFormatting>
  <conditionalFormatting sqref="L39:T39">
    <cfRule type="expression" dxfId="135" priority="23">
      <formula>AND($B$39&lt;&gt;"",$L$39="")</formula>
    </cfRule>
  </conditionalFormatting>
  <conditionalFormatting sqref="L39:T44">
    <cfRule type="notContainsBlanks" dxfId="134" priority="17">
      <formula>LEN(TRIM(L39))&gt;0</formula>
    </cfRule>
  </conditionalFormatting>
  <conditionalFormatting sqref="L40:T40">
    <cfRule type="expression" dxfId="133" priority="22">
      <formula>AND($B$40&lt;&gt;"",$L$40="")</formula>
    </cfRule>
  </conditionalFormatting>
  <conditionalFormatting sqref="L41:T41">
    <cfRule type="expression" dxfId="132" priority="21">
      <formula>AND($B$41&lt;&gt;"",$L$41="")</formula>
    </cfRule>
  </conditionalFormatting>
  <conditionalFormatting sqref="L42:T42">
    <cfRule type="expression" dxfId="131" priority="20">
      <formula>AND($B$42&lt;&gt;"",$L$42="")</formula>
    </cfRule>
  </conditionalFormatting>
  <conditionalFormatting sqref="L43:T43">
    <cfRule type="expression" dxfId="130" priority="19">
      <formula>AND($B$43&lt;&gt;"",$L$43="")</formula>
    </cfRule>
  </conditionalFormatting>
  <conditionalFormatting sqref="L44:T44">
    <cfRule type="expression" dxfId="129" priority="18">
      <formula>AND($B$44&lt;&gt;"",$L$44="")</formula>
    </cfRule>
  </conditionalFormatting>
  <conditionalFormatting sqref="N24:T25">
    <cfRule type="containsBlanks" dxfId="128" priority="14">
      <formula>LEN(TRIM(N24))=0</formula>
    </cfRule>
  </conditionalFormatting>
  <conditionalFormatting sqref="N28:T29">
    <cfRule type="containsBlanks" dxfId="127" priority="1">
      <formula>LEN(TRIM(N28))=0</formula>
    </cfRule>
  </conditionalFormatting>
  <conditionalFormatting sqref="Q32:T32">
    <cfRule type="containsBlanks" dxfId="126" priority="9">
      <formula>LEN(TRIM(Q32))=0</formula>
    </cfRule>
  </conditionalFormatting>
  <conditionalFormatting sqref="Q124:T124">
    <cfRule type="containsBlanks" dxfId="125" priority="16">
      <formula>LEN(TRIM(Q124))=0</formula>
    </cfRule>
  </conditionalFormatting>
  <dataValidations count="9">
    <dataValidation type="list" allowBlank="1" showInputMessage="1" showErrorMessage="1" sqref="M58:O62" xr:uid="{2B299A54-AF75-4F40-9F86-26C573CE3489}">
      <formula1>"NECESSÁRIO,OBRIGATÓRIO"</formula1>
    </dataValidation>
    <dataValidation type="list" allowBlank="1" showInputMessage="1" showErrorMessage="1" sqref="S35:S36 I36 M66:O73 I33:I34" xr:uid="{B67185E7-8F88-48CC-A988-4B86076A1831}">
      <formula1>"SIM,NÃO"</formula1>
    </dataValidation>
    <dataValidation type="list" allowBlank="1" showInputMessage="1" showErrorMessage="1" sqref="G11" xr:uid="{D96F5620-9CF0-45C4-A6F0-C6A6C4248A65}">
      <formula1>"PROGRAMADA,EMERGENCIAL"</formula1>
    </dataValidation>
    <dataValidation type="list" allowBlank="1" showInputMessage="1" showErrorMessage="1" sqref="I48:K52" xr:uid="{21BA3259-087C-42B7-ACD7-A71D51F3BEC4}">
      <formula1>"ALTA,MÉDIA,BAIXA"</formula1>
    </dataValidation>
    <dataValidation type="list" allowBlank="1" showInputMessage="1" showErrorMessage="1" sqref="L48:M52" xr:uid="{956A04E7-DAEC-4816-8256-E39DF4F3B31A}">
      <formula1>"ALTO,MÉDIO,BAIXO"</formula1>
    </dataValidation>
    <dataValidation type="list" allowBlank="1" showInputMessage="1" showErrorMessage="1" sqref="Q124:T124" xr:uid="{C434CA2C-C491-499A-A402-8CE1B3829E89}">
      <formula1>"APROVADO,REPROVADO"</formula1>
    </dataValidation>
    <dataValidation type="list" allowBlank="1" showInputMessage="1" showErrorMessage="1" sqref="G32:J32" xr:uid="{57763904-C80E-4E41-B134-D925929CF9CA}">
      <formula1>"PRODUÇÃO,HOMOLOGAÇÃO,TESTES,TREINAMENTO,DESENVOLVIMENTO"</formula1>
    </dataValidation>
    <dataValidation type="list" allowBlank="1" showInputMessage="1" showErrorMessage="1" sqref="Q32:T32" xr:uid="{7BA5ED56-3AFD-47E5-9B90-1474889AB0DC}">
      <formula1>"WINDOWS,LINUX,WINDOWS &amp; LINUX"</formula1>
    </dataValidation>
    <dataValidation type="list" allowBlank="1" showInputMessage="1" showErrorMessage="1" sqref="B124:G124" xr:uid="{7741F139-4BA4-4440-8093-FE02696E4A1D}">
      <formula1>"Wilson Kempim Jr."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FC0E8AE2-D5AF-4228-AAC9-9391B05C34FE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2" operator="containsText" id="{A4E809AB-A27F-4863-87F3-CD5B89C16D1A}">
            <xm:f>NOT(ISERROR(SEARCH("Risco de perda de dados sem o flashback!",L37)))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78182A-1DB1-4530-94E1-2CD34657E1D0}">
          <x14:formula1>
            <xm:f>#REF!</xm:f>
          </x14:formula1>
          <xm:sqref>D28:J28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8677-174A-7641-B642-FFEEBD17BE8B}">
  <dimension ref="B4:T157"/>
  <sheetViews>
    <sheetView showGridLines="0" topLeftCell="A115" zoomScale="110" zoomScaleNormal="110" workbookViewId="0">
      <selection activeCell="P101" sqref="P101:T101"/>
    </sheetView>
  </sheetViews>
  <sheetFormatPr defaultColWidth="8.88671875" defaultRowHeight="14.4" x14ac:dyDescent="0.3"/>
  <cols>
    <col min="1" max="1" width="1.6640625" customWidth="1"/>
    <col min="2" max="11" width="5.109375" customWidth="1"/>
    <col min="12" max="12" width="6.6640625" customWidth="1"/>
    <col min="13" max="20" width="5.109375" customWidth="1"/>
    <col min="21" max="22" width="1.6640625" customWidth="1"/>
    <col min="27" max="27" width="12.109375" bestFit="1" customWidth="1"/>
    <col min="28" max="28" width="107.6640625" bestFit="1" customWidth="1"/>
  </cols>
  <sheetData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6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4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x14ac:dyDescent="0.3">
      <c r="B33" s="48" t="s">
        <v>29</v>
      </c>
      <c r="C33" s="49"/>
      <c r="D33" s="49"/>
      <c r="E33" s="49"/>
      <c r="F33" s="49"/>
      <c r="G33" s="43" t="s">
        <v>30</v>
      </c>
      <c r="H33" s="43"/>
      <c r="I33" s="43"/>
      <c r="J33" s="43"/>
      <c r="L33" s="52" t="str" cm="1">
        <f t="array" ref="L33">_xlfn.IFS(
AND(G32&lt;&gt;"PRODUÇÃO",G33="NÃO"),"ALERTA: Risco de perda de dados sem o backup!",
AND(G32="PRODUÇÃO",G33="NÃO"),"ABORTAR GMUD!!!",
G33="SIM","Print de evidência do backup na página de anexos.",
G33="",""
)</f>
        <v>Print de evidência do backup na página de anexos.</v>
      </c>
      <c r="M33" s="52"/>
      <c r="N33" s="52"/>
      <c r="O33" s="52"/>
      <c r="P33" s="52"/>
      <c r="Q33" s="52"/>
      <c r="R33" s="52"/>
      <c r="S33" s="52"/>
      <c r="T33" s="52"/>
    </row>
    <row r="34" spans="2:20" x14ac:dyDescent="0.3">
      <c r="B34" s="22" t="s">
        <v>31</v>
      </c>
      <c r="C34" s="23"/>
      <c r="D34" s="23"/>
      <c r="E34" s="23"/>
      <c r="F34" s="23"/>
      <c r="G34" s="22"/>
      <c r="H34" s="23"/>
      <c r="I34" s="23"/>
      <c r="J34" s="23"/>
    </row>
    <row r="35" spans="2:20" x14ac:dyDescent="0.3">
      <c r="B35" s="59" t="s">
        <v>32</v>
      </c>
      <c r="C35" s="60"/>
      <c r="D35" s="60"/>
      <c r="E35" s="60"/>
      <c r="F35" s="60"/>
      <c r="G35" s="60"/>
      <c r="H35" s="60"/>
      <c r="I35" s="43" t="s">
        <v>33</v>
      </c>
      <c r="J35" s="43"/>
      <c r="L35" s="52" t="str" cm="1">
        <f t="array" ref="L35">_xlfn.IFS(
I35="NÃO","ALERTA: necessário ter acesso à console Appmgr!",
I35="SIM","",
I35="",""
)</f>
        <v>ALERTA: necessário ter acesso à console Appmgr!</v>
      </c>
      <c r="M35" s="52"/>
      <c r="N35" s="52"/>
      <c r="O35" s="52"/>
      <c r="P35" s="52"/>
      <c r="Q35" s="52"/>
      <c r="R35" s="52"/>
      <c r="S35" s="52"/>
      <c r="T35" s="52"/>
    </row>
    <row r="36" spans="2:20" x14ac:dyDescent="0.3">
      <c r="B36" s="61" t="s">
        <v>34</v>
      </c>
      <c r="C36" s="62"/>
      <c r="D36" s="62"/>
      <c r="E36" s="62"/>
      <c r="F36" s="62"/>
      <c r="G36" s="62"/>
      <c r="H36" s="62"/>
      <c r="I36" s="43" t="s">
        <v>30</v>
      </c>
      <c r="J36" s="43"/>
      <c r="L36" s="52" t="str" cm="1">
        <f t="array" ref="L36">_xlfn.IFS(
I36="NÃO","",
I36="SIM","ALERTA: Evidenciar configurações dos hosts",
I36="",""
)</f>
        <v>ALERTA: Evidenciar configurações dos hosts</v>
      </c>
      <c r="M36" s="52"/>
      <c r="N36" s="52"/>
      <c r="O36" s="52"/>
      <c r="P36" s="52"/>
      <c r="Q36" s="52"/>
      <c r="R36" s="52"/>
      <c r="S36" s="52"/>
      <c r="T36" s="52"/>
    </row>
    <row r="37" spans="2:20" ht="15" customHeight="1" x14ac:dyDescent="0.3"/>
    <row r="39" spans="2:20" ht="18" x14ac:dyDescent="0.35">
      <c r="B39" s="1" t="s">
        <v>35</v>
      </c>
      <c r="C39" s="13"/>
      <c r="D39" s="13"/>
      <c r="E39" s="13"/>
      <c r="F39" s="13"/>
      <c r="L39" s="14"/>
      <c r="M39" s="14"/>
      <c r="N39" s="14"/>
      <c r="O39" s="14"/>
      <c r="P39" s="14"/>
      <c r="Q39" s="14"/>
      <c r="R39" s="14"/>
      <c r="S39" s="14"/>
      <c r="T39" s="14"/>
    </row>
    <row r="40" spans="2:20" x14ac:dyDescent="0.3">
      <c r="B40" s="54" t="str">
        <f>IF(
OR(L33="Print de evidência do backup na página de anexos.",L33="ALERTA: Risco de perda de dados sem o backup!"),"Data de ínicio:",""
)</f>
        <v>Data de ínicio:</v>
      </c>
      <c r="C40" s="54"/>
      <c r="D40" s="54"/>
      <c r="E40" s="54"/>
      <c r="F40" s="54"/>
      <c r="G40" s="54"/>
      <c r="H40" s="54"/>
      <c r="I40" s="54"/>
      <c r="J40" s="54"/>
      <c r="K40" s="54"/>
      <c r="L40" s="55" t="s">
        <v>36</v>
      </c>
      <c r="M40" s="55"/>
      <c r="N40" s="55"/>
      <c r="O40" s="55"/>
      <c r="P40" s="55"/>
      <c r="Q40" s="55"/>
      <c r="R40" s="55"/>
      <c r="S40" s="55"/>
      <c r="T40" s="55"/>
    </row>
    <row r="41" spans="2:20" x14ac:dyDescent="0.3">
      <c r="B41" s="54" t="str">
        <f>IF(
OR(L33="Print de evidência do backup na página de anexos.",L33="ALERTA: Risco de perda de dados sem o backup!"),"Hora de ínicio:",""
)</f>
        <v>Hora de ínicio:</v>
      </c>
      <c r="C41" s="54"/>
      <c r="D41" s="54"/>
      <c r="E41" s="54"/>
      <c r="F41" s="54"/>
      <c r="G41" s="54"/>
      <c r="H41" s="54"/>
      <c r="I41" s="54"/>
      <c r="J41" s="54"/>
      <c r="K41" s="54"/>
      <c r="L41" s="56">
        <v>0.5625</v>
      </c>
      <c r="M41" s="56"/>
      <c r="N41" s="56"/>
      <c r="O41" s="56"/>
      <c r="P41" s="56"/>
      <c r="Q41" s="56"/>
      <c r="R41" s="56"/>
      <c r="S41" s="56"/>
      <c r="T41" s="56"/>
    </row>
    <row r="42" spans="2:20" x14ac:dyDescent="0.3">
      <c r="B42" s="54" t="str">
        <f>IF(L41&lt;&gt;"","Tempo total de execução:","")</f>
        <v>Tempo total de execução:</v>
      </c>
      <c r="C42" s="54"/>
      <c r="D42" s="54"/>
      <c r="E42" s="54"/>
      <c r="F42" s="54"/>
      <c r="G42" s="54"/>
      <c r="H42" s="54"/>
      <c r="I42" s="54"/>
      <c r="J42" s="54"/>
      <c r="K42" s="54"/>
      <c r="L42" s="57">
        <v>8.3333333333333329E-2</v>
      </c>
      <c r="M42" s="58"/>
      <c r="N42" s="58"/>
      <c r="O42" s="58"/>
      <c r="P42" s="58"/>
      <c r="Q42" s="58"/>
      <c r="R42" s="58"/>
      <c r="S42" s="58"/>
      <c r="T42" s="58"/>
    </row>
    <row r="43" spans="2:20" x14ac:dyDescent="0.3">
      <c r="B43" s="54" t="str">
        <f>IF(L42&lt;&gt;"","Tempo total de paralização:","")</f>
        <v>Tempo total de paralização:</v>
      </c>
      <c r="C43" s="54"/>
      <c r="D43" s="54"/>
      <c r="E43" s="54"/>
      <c r="F43" s="54"/>
      <c r="G43" s="54"/>
      <c r="H43" s="54"/>
      <c r="I43" s="54"/>
      <c r="J43" s="54"/>
      <c r="K43" s="54"/>
      <c r="L43" s="63">
        <v>6.25E-2</v>
      </c>
      <c r="M43" s="64"/>
      <c r="N43" s="64"/>
      <c r="O43" s="64"/>
      <c r="P43" s="64"/>
      <c r="Q43" s="64"/>
      <c r="R43" s="64"/>
      <c r="S43" s="64"/>
      <c r="T43" s="65"/>
    </row>
    <row r="44" spans="2:20" x14ac:dyDescent="0.3">
      <c r="B44" s="54" t="str">
        <f>IF(L43&lt;&gt;"","Tempo total para testes","")</f>
        <v>Tempo total para testes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4.1666666666666664E-2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54" t="str">
        <f>IF(L44&lt;&gt;"","Tempo total para tentativa de correções:","")</f>
        <v>Tempo total para tentativa de correções: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8.3333333333333329E-2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plano de volta:","")</f>
        <v>Tempo total para plano de volta: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8.3333333333333329E-2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66"/>
      <c r="C47" s="67"/>
      <c r="D47" s="67"/>
      <c r="E47" s="68"/>
      <c r="F47" s="69"/>
      <c r="G47" s="70"/>
      <c r="H47" s="70"/>
      <c r="I47" s="70"/>
      <c r="J47" s="71"/>
    </row>
    <row r="48" spans="2:20" ht="18" x14ac:dyDescent="0.35">
      <c r="B48" s="4" t="s">
        <v>37</v>
      </c>
      <c r="C48" s="7"/>
      <c r="D48" s="7"/>
      <c r="E48" s="8"/>
      <c r="F48" s="9"/>
      <c r="G48" s="10"/>
      <c r="H48" s="10"/>
      <c r="I48" s="10"/>
      <c r="J48" s="11"/>
    </row>
    <row r="49" spans="2:20" s="19" customFormat="1" x14ac:dyDescent="0.3">
      <c r="B49" s="72" t="s">
        <v>38</v>
      </c>
      <c r="C49" s="72"/>
      <c r="D49" s="72"/>
      <c r="E49" s="72"/>
      <c r="F49" s="72"/>
      <c r="G49" s="72"/>
      <c r="H49" s="72"/>
      <c r="I49" s="73" t="s">
        <v>39</v>
      </c>
      <c r="J49" s="73"/>
      <c r="K49" s="73"/>
      <c r="L49" s="73" t="s">
        <v>40</v>
      </c>
      <c r="M49" s="73"/>
      <c r="N49" s="72" t="s">
        <v>41</v>
      </c>
      <c r="O49" s="72"/>
      <c r="P49" s="72"/>
      <c r="Q49" s="72"/>
      <c r="R49" s="72"/>
      <c r="S49" s="72"/>
      <c r="T49" s="72"/>
    </row>
    <row r="50" spans="2:20" s="19" customFormat="1" ht="15" customHeight="1" x14ac:dyDescent="0.3">
      <c r="B50" s="74" t="s">
        <v>42</v>
      </c>
      <c r="C50" s="74"/>
      <c r="D50" s="74"/>
      <c r="E50" s="74"/>
      <c r="F50" s="74"/>
      <c r="G50" s="74"/>
      <c r="H50" s="74"/>
      <c r="I50" s="75" t="s">
        <v>43</v>
      </c>
      <c r="J50" s="75"/>
      <c r="K50" s="75"/>
      <c r="L50" s="75" t="s">
        <v>44</v>
      </c>
      <c r="M50" s="75"/>
      <c r="N50" s="74" t="s">
        <v>45</v>
      </c>
      <c r="O50" s="74"/>
      <c r="P50" s="74"/>
      <c r="Q50" s="74"/>
      <c r="R50" s="74"/>
      <c r="S50" s="74"/>
      <c r="T50" s="74"/>
    </row>
    <row r="51" spans="2:20" s="19" customFormat="1" x14ac:dyDescent="0.3">
      <c r="B51" s="74"/>
      <c r="C51" s="74"/>
      <c r="D51" s="74"/>
      <c r="E51" s="74"/>
      <c r="F51" s="74"/>
      <c r="G51" s="74"/>
      <c r="H51" s="74"/>
      <c r="I51" s="75"/>
      <c r="J51" s="75"/>
      <c r="K51" s="75"/>
      <c r="L51" s="75"/>
      <c r="M51" s="75"/>
      <c r="N51" s="74"/>
      <c r="O51" s="74"/>
      <c r="P51" s="74"/>
      <c r="Q51" s="74"/>
      <c r="R51" s="74"/>
      <c r="S51" s="74"/>
      <c r="T51" s="74"/>
    </row>
    <row r="52" spans="2:20" s="19" customFormat="1" x14ac:dyDescent="0.3">
      <c r="B52" s="74"/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4"/>
      <c r="O52" s="74"/>
      <c r="P52" s="74"/>
      <c r="Q52" s="74"/>
      <c r="R52" s="74"/>
      <c r="S52" s="74"/>
      <c r="T52" s="74"/>
    </row>
    <row r="53" spans="2:20" s="19" customFormat="1" x14ac:dyDescent="0.3">
      <c r="B53" s="74"/>
      <c r="C53" s="74"/>
      <c r="D53" s="74"/>
      <c r="E53" s="74"/>
      <c r="F53" s="74"/>
      <c r="G53" s="74"/>
      <c r="H53" s="74"/>
      <c r="I53" s="75"/>
      <c r="J53" s="75"/>
      <c r="K53" s="75"/>
      <c r="L53" s="75"/>
      <c r="M53" s="75"/>
      <c r="N53" s="74"/>
      <c r="O53" s="74"/>
      <c r="P53" s="74"/>
      <c r="Q53" s="74"/>
      <c r="R53" s="74"/>
      <c r="S53" s="74"/>
      <c r="T53" s="74"/>
    </row>
    <row r="54" spans="2:20" s="19" customFormat="1" x14ac:dyDescent="0.3">
      <c r="B54" s="74"/>
      <c r="C54" s="74"/>
      <c r="D54" s="74"/>
      <c r="E54" s="74"/>
      <c r="F54" s="74"/>
      <c r="G54" s="74"/>
      <c r="H54" s="74"/>
      <c r="I54" s="75"/>
      <c r="J54" s="75"/>
      <c r="K54" s="75"/>
      <c r="L54" s="75"/>
      <c r="M54" s="75"/>
      <c r="N54" s="74"/>
      <c r="O54" s="74"/>
      <c r="P54" s="74"/>
      <c r="Q54" s="74"/>
      <c r="R54" s="74"/>
      <c r="S54" s="74"/>
      <c r="T54" s="74"/>
    </row>
    <row r="55" spans="2:20" s="19" customFormat="1" x14ac:dyDescent="0.3">
      <c r="B55" s="74"/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4"/>
      <c r="O55" s="74"/>
      <c r="P55" s="74"/>
      <c r="Q55" s="74"/>
      <c r="R55" s="74"/>
      <c r="S55" s="74"/>
      <c r="T55" s="74"/>
    </row>
    <row r="56" spans="2:20" s="19" customFormat="1" x14ac:dyDescent="0.3">
      <c r="B56" s="74"/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4"/>
      <c r="O56" s="74"/>
      <c r="P56" s="74"/>
      <c r="Q56" s="74"/>
      <c r="R56" s="74"/>
      <c r="S56" s="74"/>
      <c r="T56" s="74"/>
    </row>
    <row r="60" spans="2:20" ht="18" x14ac:dyDescent="0.35">
      <c r="B60" s="4" t="s">
        <v>46</v>
      </c>
    </row>
    <row r="61" spans="2:20" s="19" customFormat="1" x14ac:dyDescent="0.3">
      <c r="B61" s="72" t="s">
        <v>47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3" t="s">
        <v>48</v>
      </c>
      <c r="N61" s="73"/>
      <c r="O61" s="73"/>
      <c r="P61" s="73" t="s">
        <v>49</v>
      </c>
      <c r="Q61" s="73"/>
      <c r="R61" s="73"/>
      <c r="S61" s="73"/>
      <c r="T61" s="73"/>
    </row>
    <row r="62" spans="2:20" s="19" customFormat="1" x14ac:dyDescent="0.3">
      <c r="B62" s="76" t="s">
        <v>50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7" t="s">
        <v>51</v>
      </c>
      <c r="N62" s="77"/>
      <c r="O62" s="77"/>
      <c r="P62" s="77" t="str">
        <f t="shared" ref="P62:P63" si="0">$D$28</f>
        <v>Murilo Moraes</v>
      </c>
      <c r="Q62" s="77"/>
      <c r="R62" s="77"/>
      <c r="S62" s="77"/>
      <c r="T62" s="77"/>
    </row>
    <row r="63" spans="2:20" s="19" customFormat="1" ht="15" customHeight="1" x14ac:dyDescent="0.3">
      <c r="B63" s="76" t="s">
        <v>52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7" t="s">
        <v>51</v>
      </c>
      <c r="N63" s="77"/>
      <c r="O63" s="77"/>
      <c r="P63" s="77" t="str">
        <f t="shared" si="0"/>
        <v>Murilo Moraes</v>
      </c>
      <c r="Q63" s="77"/>
      <c r="R63" s="77"/>
      <c r="S63" s="77"/>
      <c r="T63" s="77"/>
    </row>
    <row r="64" spans="2:20" s="19" customFormat="1" x14ac:dyDescent="0.3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7"/>
      <c r="N64" s="77"/>
      <c r="O64" s="77"/>
      <c r="P64" s="77"/>
      <c r="Q64" s="77"/>
      <c r="R64" s="77"/>
      <c r="S64" s="77"/>
      <c r="T64" s="77"/>
    </row>
    <row r="65" spans="2:20" s="19" customFormat="1" x14ac:dyDescent="0.3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7"/>
      <c r="N65" s="77"/>
      <c r="O65" s="77"/>
      <c r="P65" s="77"/>
      <c r="Q65" s="77"/>
      <c r="R65" s="77"/>
      <c r="S65" s="77"/>
      <c r="T65" s="77"/>
    </row>
    <row r="66" spans="2:20" x14ac:dyDescent="0.3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7"/>
      <c r="N66" s="77"/>
      <c r="O66" s="77"/>
      <c r="P66" s="78"/>
      <c r="Q66" s="78"/>
      <c r="R66" s="78"/>
      <c r="S66" s="78"/>
      <c r="T66" s="78"/>
    </row>
    <row r="67" spans="2:20" x14ac:dyDescent="0.3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7"/>
      <c r="N67" s="77"/>
      <c r="O67" s="77"/>
      <c r="P67" s="78"/>
      <c r="Q67" s="78"/>
      <c r="R67" s="78"/>
      <c r="S67" s="78"/>
      <c r="T67" s="78"/>
    </row>
    <row r="68" spans="2:20" x14ac:dyDescent="0.3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7"/>
      <c r="N68" s="77"/>
      <c r="O68" s="77"/>
      <c r="P68" s="78"/>
      <c r="Q68" s="78"/>
      <c r="R68" s="78"/>
      <c r="S68" s="78"/>
      <c r="T68" s="78"/>
    </row>
    <row r="69" spans="2:20" x14ac:dyDescent="0.3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7"/>
      <c r="N69" s="77"/>
      <c r="O69" s="77"/>
      <c r="P69" s="78"/>
      <c r="Q69" s="78"/>
      <c r="R69" s="78"/>
      <c r="S69" s="78"/>
      <c r="T69" s="78"/>
    </row>
    <row r="71" spans="2:20" ht="18" x14ac:dyDescent="0.35">
      <c r="B71" s="4" t="s">
        <v>54</v>
      </c>
    </row>
    <row r="72" spans="2:20" ht="15" customHeight="1" x14ac:dyDescent="0.3">
      <c r="B72" s="83" t="s">
        <v>55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2:20" x14ac:dyDescent="0.3">
      <c r="B73" s="84" t="s">
        <v>47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5" t="s">
        <v>56</v>
      </c>
      <c r="N73" s="85"/>
      <c r="O73" s="85"/>
      <c r="P73" s="86" t="s">
        <v>49</v>
      </c>
      <c r="Q73" s="87"/>
      <c r="R73" s="87"/>
      <c r="S73" s="87"/>
      <c r="T73" s="88"/>
    </row>
    <row r="74" spans="2:20" s="19" customFormat="1" ht="15" customHeight="1" x14ac:dyDescent="0.3">
      <c r="B74" s="89"/>
      <c r="C74" s="90"/>
      <c r="D74" s="90"/>
      <c r="E74" s="90"/>
      <c r="F74" s="90"/>
      <c r="G74" s="90"/>
      <c r="H74" s="90"/>
      <c r="I74" s="90"/>
      <c r="J74" s="90"/>
      <c r="K74" s="90"/>
      <c r="L74" s="91"/>
      <c r="M74" s="79" t="s">
        <v>33</v>
      </c>
      <c r="N74" s="79"/>
      <c r="O74" s="79"/>
      <c r="P74" s="92" t="str">
        <f>$D$28</f>
        <v>Murilo Moraes</v>
      </c>
      <c r="Q74" s="93"/>
      <c r="R74" s="93"/>
      <c r="S74" s="93"/>
      <c r="T74" s="94"/>
    </row>
    <row r="75" spans="2:20" s="15" customFormat="1" x14ac:dyDescent="0.3"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9"/>
      <c r="N75" s="79"/>
      <c r="O75" s="79"/>
      <c r="P75" s="80"/>
      <c r="Q75" s="81"/>
      <c r="R75" s="81"/>
      <c r="S75" s="81"/>
      <c r="T75" s="82"/>
    </row>
    <row r="76" spans="2:20" s="15" customFormat="1" x14ac:dyDescent="0.3"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9"/>
      <c r="N76" s="79"/>
      <c r="O76" s="79"/>
      <c r="P76" s="80"/>
      <c r="Q76" s="81"/>
      <c r="R76" s="81"/>
      <c r="S76" s="81"/>
      <c r="T76" s="82"/>
    </row>
    <row r="77" spans="2:20" s="15" customFormat="1" x14ac:dyDescent="0.3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9"/>
      <c r="N77" s="79"/>
      <c r="O77" s="79"/>
      <c r="P77" s="80"/>
      <c r="Q77" s="81"/>
      <c r="R77" s="81"/>
      <c r="S77" s="81"/>
      <c r="T77" s="82"/>
    </row>
    <row r="78" spans="2:20" s="19" customFormat="1" x14ac:dyDescent="0.3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9"/>
      <c r="N78" s="79"/>
      <c r="O78" s="79"/>
      <c r="P78" s="92"/>
      <c r="Q78" s="93"/>
      <c r="R78" s="93"/>
      <c r="S78" s="93"/>
      <c r="T78" s="94"/>
    </row>
    <row r="79" spans="2:20" s="19" customFormat="1" x14ac:dyDescent="0.3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/>
      <c r="N79" s="79"/>
      <c r="O79" s="79"/>
      <c r="P79" s="92"/>
      <c r="Q79" s="93"/>
      <c r="R79" s="93"/>
      <c r="S79" s="93"/>
      <c r="T79" s="94"/>
    </row>
    <row r="80" spans="2:20" s="19" customFormat="1" x14ac:dyDescent="0.3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9"/>
      <c r="N80" s="79"/>
      <c r="O80" s="79"/>
      <c r="P80" s="92"/>
      <c r="Q80" s="93"/>
      <c r="R80" s="93"/>
      <c r="S80" s="93"/>
      <c r="T80" s="94"/>
    </row>
    <row r="81" spans="2:20" s="19" customFormat="1" x14ac:dyDescent="0.3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9"/>
      <c r="N81" s="79"/>
      <c r="O81" s="79"/>
      <c r="P81" s="92"/>
      <c r="Q81" s="93"/>
      <c r="R81" s="93"/>
      <c r="S81" s="93"/>
      <c r="T81" s="94"/>
    </row>
    <row r="82" spans="2:20" s="19" customFormat="1" x14ac:dyDescent="0.3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/>
      <c r="N82" s="79"/>
      <c r="O82" s="79"/>
      <c r="P82" s="92"/>
      <c r="Q82" s="93"/>
      <c r="R82" s="93"/>
      <c r="S82" s="93"/>
      <c r="T82" s="94"/>
    </row>
    <row r="83" spans="2:20" s="19" customFormat="1" x14ac:dyDescent="0.3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9"/>
      <c r="N83" s="79"/>
      <c r="O83" s="79"/>
      <c r="P83" s="92"/>
      <c r="Q83" s="93"/>
      <c r="R83" s="93"/>
      <c r="S83" s="93"/>
      <c r="T83" s="94"/>
    </row>
    <row r="84" spans="2:20" s="19" customFormat="1" x14ac:dyDescent="0.3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/>
      <c r="N84" s="79"/>
      <c r="O84" s="79"/>
      <c r="P84" s="92"/>
      <c r="Q84" s="93"/>
      <c r="R84" s="93"/>
      <c r="S84" s="93"/>
      <c r="T84" s="94"/>
    </row>
    <row r="86" spans="2:20" ht="18" x14ac:dyDescent="0.35">
      <c r="B86" s="4" t="s">
        <v>57</v>
      </c>
    </row>
    <row r="87" spans="2:20" x14ac:dyDescent="0.3">
      <c r="B87" s="83" t="s">
        <v>58</v>
      </c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2:20" x14ac:dyDescent="0.3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</row>
    <row r="89" spans="2:20" x14ac:dyDescent="0.3">
      <c r="B89" s="84" t="s">
        <v>47</v>
      </c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97" t="s">
        <v>59</v>
      </c>
      <c r="N89" s="97"/>
      <c r="O89" s="97"/>
      <c r="P89" s="86" t="s">
        <v>49</v>
      </c>
      <c r="Q89" s="87"/>
      <c r="R89" s="87"/>
      <c r="S89" s="87"/>
      <c r="T89" s="88"/>
    </row>
    <row r="90" spans="2:20" s="12" customFormat="1" ht="15" customHeight="1" x14ac:dyDescent="0.3">
      <c r="B90" s="74" t="s">
        <v>60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99">
        <v>6.9444444444444441E-3</v>
      </c>
      <c r="N90" s="77"/>
      <c r="O90" s="77"/>
      <c r="P90" s="92" t="str">
        <f>$D$28</f>
        <v>Murilo Moraes</v>
      </c>
      <c r="Q90" s="93"/>
      <c r="R90" s="93"/>
      <c r="S90" s="93"/>
      <c r="T90" s="94"/>
    </row>
    <row r="91" spans="2:20" s="12" customFormat="1" ht="13.8" x14ac:dyDescent="0.3">
      <c r="B91" s="100"/>
      <c r="C91" s="101"/>
      <c r="D91" s="101"/>
      <c r="E91" s="101"/>
      <c r="F91" s="101"/>
      <c r="G91" s="101"/>
      <c r="H91" s="101"/>
      <c r="I91" s="101"/>
      <c r="J91" s="101"/>
      <c r="K91" s="101"/>
      <c r="L91" s="102"/>
      <c r="M91" s="99"/>
      <c r="N91" s="77"/>
      <c r="O91" s="77"/>
      <c r="P91" s="92"/>
      <c r="Q91" s="93"/>
      <c r="R91" s="93"/>
      <c r="S91" s="93"/>
      <c r="T91" s="94"/>
    </row>
    <row r="92" spans="2:20" s="12" customFormat="1" ht="13.8" x14ac:dyDescent="0.3"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99"/>
      <c r="N92" s="77"/>
      <c r="O92" s="77"/>
      <c r="P92" s="92"/>
      <c r="Q92" s="93"/>
      <c r="R92" s="93"/>
      <c r="S92" s="93"/>
      <c r="T92" s="94"/>
    </row>
    <row r="93" spans="2:20" s="12" customFormat="1" ht="13.8" x14ac:dyDescent="0.3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99"/>
      <c r="N93" s="77"/>
      <c r="O93" s="77"/>
      <c r="P93" s="92"/>
      <c r="Q93" s="93"/>
      <c r="R93" s="93"/>
      <c r="S93" s="93"/>
      <c r="T93" s="94"/>
    </row>
    <row r="94" spans="2:20" s="12" customFormat="1" ht="13.8" x14ac:dyDescent="0.3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99"/>
      <c r="N94" s="77"/>
      <c r="O94" s="77"/>
      <c r="P94" s="92"/>
      <c r="Q94" s="93"/>
      <c r="R94" s="93"/>
      <c r="S94" s="93"/>
      <c r="T94" s="94"/>
    </row>
    <row r="95" spans="2:20" s="12" customFormat="1" ht="15" customHeight="1" x14ac:dyDescent="0.3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7"/>
      <c r="N95" s="77"/>
      <c r="O95" s="77"/>
      <c r="P95" s="92"/>
      <c r="Q95" s="93"/>
      <c r="R95" s="93"/>
      <c r="S95" s="93"/>
      <c r="T95" s="94"/>
    </row>
    <row r="96" spans="2:20" s="12" customFormat="1" ht="15" customHeight="1" x14ac:dyDescent="0.3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7"/>
      <c r="N96" s="77"/>
      <c r="O96" s="77"/>
      <c r="P96" s="92"/>
      <c r="Q96" s="93"/>
      <c r="R96" s="93"/>
      <c r="S96" s="93"/>
      <c r="T96" s="94"/>
    </row>
    <row r="97" spans="2:20" s="12" customFormat="1" ht="15" customHeight="1" x14ac:dyDescent="0.35">
      <c r="B97" s="4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2:20" ht="18" x14ac:dyDescent="0.35">
      <c r="B98" s="4" t="s">
        <v>61</v>
      </c>
    </row>
    <row r="99" spans="2:20" ht="15" customHeight="1" x14ac:dyDescent="0.3">
      <c r="B99" s="96" t="s">
        <v>62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</row>
    <row r="100" spans="2:20" x14ac:dyDescent="0.3">
      <c r="B100" s="84" t="s">
        <v>47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97" t="s">
        <v>59</v>
      </c>
      <c r="N100" s="97"/>
      <c r="O100" s="97"/>
      <c r="P100" s="86" t="s">
        <v>49</v>
      </c>
      <c r="Q100" s="87"/>
      <c r="R100" s="87"/>
      <c r="S100" s="87"/>
      <c r="T100" s="88"/>
    </row>
    <row r="101" spans="2:20" x14ac:dyDescent="0.3">
      <c r="B101" s="74" t="s">
        <v>63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99">
        <v>6.9444444444444441E-3</v>
      </c>
      <c r="N101" s="77"/>
      <c r="O101" s="77"/>
      <c r="P101" s="92" t="str">
        <f>$D$28</f>
        <v>Murilo Moraes</v>
      </c>
      <c r="Q101" s="93"/>
      <c r="R101" s="93"/>
      <c r="S101" s="93"/>
      <c r="T101" s="94"/>
    </row>
    <row r="102" spans="2:20" s="12" customFormat="1" ht="15" customHeight="1" x14ac:dyDescent="0.3">
      <c r="B102" s="100"/>
      <c r="C102" s="101"/>
      <c r="D102" s="101"/>
      <c r="E102" s="101"/>
      <c r="F102" s="101"/>
      <c r="G102" s="101"/>
      <c r="H102" s="101"/>
      <c r="I102" s="101"/>
      <c r="J102" s="101"/>
      <c r="K102" s="101"/>
      <c r="L102" s="102"/>
      <c r="M102" s="99"/>
      <c r="N102" s="77"/>
      <c r="O102" s="77"/>
      <c r="P102" s="92"/>
      <c r="Q102" s="93"/>
      <c r="R102" s="93"/>
      <c r="S102" s="93"/>
      <c r="T102" s="94"/>
    </row>
    <row r="103" spans="2:20" s="12" customFormat="1" ht="13.8" x14ac:dyDescent="0.3"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99"/>
      <c r="N103" s="77"/>
      <c r="O103" s="77"/>
      <c r="P103" s="92"/>
      <c r="Q103" s="93"/>
      <c r="R103" s="93"/>
      <c r="S103" s="93"/>
      <c r="T103" s="94"/>
    </row>
    <row r="104" spans="2:20" s="12" customFormat="1" ht="13.8" x14ac:dyDescent="0.3"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9"/>
      <c r="N104" s="77"/>
      <c r="O104" s="77"/>
      <c r="P104" s="92"/>
      <c r="Q104" s="93"/>
      <c r="R104" s="93"/>
      <c r="S104" s="93"/>
      <c r="T104" s="94"/>
    </row>
    <row r="105" spans="2:20" s="12" customFormat="1" ht="13.8" x14ac:dyDescent="0.3"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99"/>
      <c r="N105" s="77"/>
      <c r="O105" s="77"/>
      <c r="P105" s="92"/>
      <c r="Q105" s="93"/>
      <c r="R105" s="93"/>
      <c r="S105" s="93"/>
      <c r="T105" s="94"/>
    </row>
    <row r="106" spans="2:20" s="12" customFormat="1" ht="13.8" x14ac:dyDescent="0.3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9"/>
      <c r="N106" s="77"/>
      <c r="O106" s="77"/>
      <c r="P106" s="92"/>
      <c r="Q106" s="93"/>
      <c r="R106" s="93"/>
      <c r="S106" s="93"/>
      <c r="T106" s="94"/>
    </row>
    <row r="107" spans="2:20" s="12" customFormat="1" ht="13.8" x14ac:dyDescent="0.3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/>
      <c r="N107" s="77"/>
      <c r="O107" s="77"/>
      <c r="P107" s="92"/>
      <c r="Q107" s="93"/>
      <c r="R107" s="93"/>
      <c r="S107" s="93"/>
      <c r="T107" s="94"/>
    </row>
    <row r="108" spans="2:20" s="12" customFormat="1" ht="13.8" x14ac:dyDescent="0.3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99"/>
      <c r="N108" s="77"/>
      <c r="O108" s="77"/>
      <c r="P108" s="92"/>
      <c r="Q108" s="93"/>
      <c r="R108" s="93"/>
      <c r="S108" s="93"/>
      <c r="T108" s="94"/>
    </row>
    <row r="109" spans="2:20" x14ac:dyDescent="0.3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2:20" ht="15" customHeight="1" x14ac:dyDescent="0.35">
      <c r="B110" s="4" t="s">
        <v>64</v>
      </c>
      <c r="C110" s="5"/>
      <c r="D110" s="5"/>
      <c r="E110" s="5"/>
      <c r="F110" s="5"/>
      <c r="G110" s="5"/>
      <c r="H110" s="5"/>
      <c r="I110" s="5"/>
      <c r="J110" s="5"/>
    </row>
    <row r="111" spans="2:20" x14ac:dyDescent="0.3">
      <c r="B111" s="109" t="s">
        <v>0</v>
      </c>
      <c r="C111" s="110"/>
      <c r="D111" s="110"/>
      <c r="E111" s="110"/>
      <c r="F111" s="110"/>
      <c r="G111" s="110"/>
      <c r="H111" s="111"/>
      <c r="I111" s="109" t="s">
        <v>65</v>
      </c>
      <c r="J111" s="110"/>
      <c r="K111" s="110"/>
      <c r="L111" s="111"/>
      <c r="M111" s="86" t="s">
        <v>66</v>
      </c>
      <c r="N111" s="87"/>
      <c r="O111" s="87"/>
      <c r="P111" s="88"/>
      <c r="Q111" s="86" t="s">
        <v>1</v>
      </c>
      <c r="R111" s="87"/>
      <c r="S111" s="87"/>
      <c r="T111" s="88"/>
    </row>
    <row r="112" spans="2:20" x14ac:dyDescent="0.3">
      <c r="B112" s="103" t="str">
        <f>D28</f>
        <v>Murilo Moraes</v>
      </c>
      <c r="C112" s="104"/>
      <c r="D112" s="104"/>
      <c r="E112" s="104"/>
      <c r="F112" s="104"/>
      <c r="G112" s="104"/>
      <c r="H112" s="105"/>
      <c r="I112" s="103" t="s">
        <v>3</v>
      </c>
      <c r="J112" s="104"/>
      <c r="K112" s="104"/>
      <c r="L112" s="105"/>
      <c r="M112" s="106" t="s">
        <v>53</v>
      </c>
      <c r="N112" s="107"/>
      <c r="O112" s="107"/>
      <c r="P112" s="108"/>
      <c r="Q112" s="106" t="s">
        <v>5</v>
      </c>
      <c r="R112" s="107"/>
      <c r="S112" s="107"/>
      <c r="T112" s="108"/>
    </row>
    <row r="113" spans="2:20" ht="15" customHeight="1" x14ac:dyDescent="0.3">
      <c r="B113" s="103" t="s">
        <v>67</v>
      </c>
      <c r="C113" s="104"/>
      <c r="D113" s="104"/>
      <c r="E113" s="104"/>
      <c r="F113" s="104"/>
      <c r="G113" s="104"/>
      <c r="H113" s="105"/>
      <c r="I113" s="103" t="s">
        <v>68</v>
      </c>
      <c r="J113" s="104"/>
      <c r="K113" s="104"/>
      <c r="L113" s="105"/>
      <c r="M113" s="106" t="s">
        <v>53</v>
      </c>
      <c r="N113" s="107"/>
      <c r="O113" s="107"/>
      <c r="P113" s="108"/>
      <c r="Q113" s="106" t="s">
        <v>2</v>
      </c>
      <c r="R113" s="107"/>
      <c r="S113" s="107"/>
      <c r="T113" s="108"/>
    </row>
    <row r="114" spans="2:20" x14ac:dyDescent="0.3">
      <c r="B114" s="103" t="s">
        <v>69</v>
      </c>
      <c r="C114" s="104"/>
      <c r="D114" s="104"/>
      <c r="E114" s="104"/>
      <c r="F114" s="104"/>
      <c r="G114" s="104"/>
      <c r="H114" s="105"/>
      <c r="I114" s="103" t="s">
        <v>70</v>
      </c>
      <c r="J114" s="104"/>
      <c r="K114" s="104"/>
      <c r="L114" s="105"/>
      <c r="M114" s="106" t="s">
        <v>53</v>
      </c>
      <c r="N114" s="107"/>
      <c r="O114" s="107"/>
      <c r="P114" s="108"/>
      <c r="Q114" s="106" t="s">
        <v>5</v>
      </c>
      <c r="R114" s="107"/>
      <c r="S114" s="107"/>
      <c r="T114" s="108"/>
    </row>
    <row r="120" spans="2:20" ht="18" x14ac:dyDescent="0.35">
      <c r="B120" s="4" t="s">
        <v>71</v>
      </c>
      <c r="C120" s="5"/>
      <c r="D120" s="5"/>
      <c r="E120" s="5"/>
      <c r="F120" s="5"/>
      <c r="G120" s="5"/>
      <c r="H120" s="5"/>
      <c r="I120" s="5"/>
      <c r="J120" s="5"/>
    </row>
    <row r="121" spans="2:20" x14ac:dyDescent="0.3">
      <c r="B121" s="121" t="s">
        <v>72</v>
      </c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3"/>
    </row>
    <row r="122" spans="2:20" x14ac:dyDescent="0.3">
      <c r="B122" s="124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6"/>
    </row>
    <row r="123" spans="2:20" x14ac:dyDescent="0.3">
      <c r="B123" s="127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9"/>
    </row>
    <row r="124" spans="2:20" x14ac:dyDescent="0.3">
      <c r="B124" s="127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9"/>
    </row>
    <row r="125" spans="2:20" x14ac:dyDescent="0.3">
      <c r="B125" s="127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9"/>
    </row>
    <row r="126" spans="2:20" x14ac:dyDescent="0.3"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9"/>
    </row>
    <row r="127" spans="2:20" x14ac:dyDescent="0.3"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9"/>
    </row>
    <row r="128" spans="2:20" x14ac:dyDescent="0.3"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9"/>
    </row>
    <row r="129" spans="2:20" x14ac:dyDescent="0.3"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9"/>
    </row>
    <row r="130" spans="2:20" x14ac:dyDescent="0.3"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9"/>
    </row>
    <row r="131" spans="2:20" x14ac:dyDescent="0.3"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9"/>
    </row>
    <row r="132" spans="2:20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x14ac:dyDescent="0.3"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9"/>
    </row>
    <row r="134" spans="2:20" x14ac:dyDescent="0.3">
      <c r="B134" s="127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9"/>
    </row>
    <row r="135" spans="2:20" x14ac:dyDescent="0.3">
      <c r="B135" s="127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9"/>
    </row>
    <row r="136" spans="2:20" x14ac:dyDescent="0.3">
      <c r="B136" s="127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9"/>
    </row>
    <row r="137" spans="2:20" x14ac:dyDescent="0.3">
      <c r="B137" s="127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9"/>
    </row>
    <row r="138" spans="2:20" x14ac:dyDescent="0.3">
      <c r="B138" s="127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9"/>
    </row>
    <row r="139" spans="2:20" x14ac:dyDescent="0.3"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2:20" x14ac:dyDescent="0.3">
      <c r="B140" s="121" t="s">
        <v>73</v>
      </c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3"/>
    </row>
    <row r="141" spans="2:20" x14ac:dyDescent="0.3">
      <c r="B141" s="124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6"/>
    </row>
    <row r="142" spans="2:20" x14ac:dyDescent="0.3">
      <c r="B142" s="127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9"/>
    </row>
    <row r="143" spans="2:20" x14ac:dyDescent="0.3">
      <c r="B143" s="127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9"/>
    </row>
    <row r="144" spans="2:20" x14ac:dyDescent="0.3">
      <c r="B144" s="127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9"/>
    </row>
    <row r="145" spans="2:20" x14ac:dyDescent="0.3">
      <c r="B145" s="127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9"/>
    </row>
    <row r="146" spans="2:20" x14ac:dyDescent="0.3">
      <c r="B146" s="127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9"/>
    </row>
    <row r="147" spans="2:20" x14ac:dyDescent="0.3">
      <c r="B147" s="127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9"/>
    </row>
    <row r="148" spans="2:20" x14ac:dyDescent="0.3">
      <c r="B148" s="127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9"/>
    </row>
    <row r="149" spans="2:20" x14ac:dyDescent="0.3">
      <c r="B149" s="127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9"/>
    </row>
    <row r="150" spans="2:20" x14ac:dyDescent="0.3">
      <c r="B150" s="127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9"/>
    </row>
    <row r="151" spans="2:20" x14ac:dyDescent="0.3">
      <c r="B151" s="127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9"/>
    </row>
    <row r="152" spans="2:20" x14ac:dyDescent="0.3">
      <c r="B152" s="127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9"/>
    </row>
    <row r="153" spans="2:20" x14ac:dyDescent="0.3">
      <c r="B153" s="6"/>
      <c r="C153" s="6"/>
      <c r="D153" s="6"/>
      <c r="E153" s="6"/>
      <c r="F153" s="6"/>
      <c r="G153" s="6"/>
      <c r="H153" s="6"/>
      <c r="I153" s="6"/>
      <c r="J153" s="6"/>
    </row>
    <row r="154" spans="2:20" x14ac:dyDescent="0.3">
      <c r="B154" s="13"/>
    </row>
    <row r="155" spans="2:20" ht="18" x14ac:dyDescent="0.35">
      <c r="B155" s="4" t="s">
        <v>74</v>
      </c>
    </row>
    <row r="156" spans="2:20" x14ac:dyDescent="0.3">
      <c r="B156" s="109" t="s">
        <v>0</v>
      </c>
      <c r="C156" s="110"/>
      <c r="D156" s="110"/>
      <c r="E156" s="110"/>
      <c r="F156" s="110"/>
      <c r="G156" s="111"/>
      <c r="H156" s="109" t="s">
        <v>65</v>
      </c>
      <c r="I156" s="110"/>
      <c r="J156" s="110"/>
      <c r="K156" s="110"/>
      <c r="L156" s="111"/>
      <c r="M156" s="97" t="s">
        <v>66</v>
      </c>
      <c r="N156" s="97"/>
      <c r="O156" s="97"/>
      <c r="P156" s="97"/>
      <c r="Q156" s="86" t="s">
        <v>75</v>
      </c>
      <c r="R156" s="87"/>
      <c r="S156" s="87"/>
      <c r="T156" s="88"/>
    </row>
    <row r="157" spans="2:20" x14ac:dyDescent="0.3">
      <c r="B157" s="112" t="s">
        <v>67</v>
      </c>
      <c r="C157" s="113"/>
      <c r="D157" s="113"/>
      <c r="E157" s="113"/>
      <c r="F157" s="113"/>
      <c r="G157" s="114"/>
      <c r="H157" s="115" t="s">
        <v>76</v>
      </c>
      <c r="I157" s="116"/>
      <c r="J157" s="116"/>
      <c r="K157" s="116"/>
      <c r="L157" s="117"/>
      <c r="M157" s="118" t="s">
        <v>53</v>
      </c>
      <c r="N157" s="119"/>
      <c r="O157" s="119"/>
      <c r="P157" s="120"/>
      <c r="Q157" s="118"/>
      <c r="R157" s="119"/>
      <c r="S157" s="119"/>
      <c r="T157" s="120"/>
    </row>
  </sheetData>
  <sheetProtection selectLockedCells="1"/>
  <mergeCells count="242">
    <mergeCell ref="B157:G157"/>
    <mergeCell ref="H157:L157"/>
    <mergeCell ref="M157:P157"/>
    <mergeCell ref="Q157:T157"/>
    <mergeCell ref="B140:T140"/>
    <mergeCell ref="B141:T152"/>
    <mergeCell ref="B156:G156"/>
    <mergeCell ref="H156:L156"/>
    <mergeCell ref="M156:P156"/>
    <mergeCell ref="Q156:T156"/>
    <mergeCell ref="B114:H114"/>
    <mergeCell ref="I114:L114"/>
    <mergeCell ref="M114:P114"/>
    <mergeCell ref="Q114:T114"/>
    <mergeCell ref="B121:T121"/>
    <mergeCell ref="B122:T138"/>
    <mergeCell ref="B112:H112"/>
    <mergeCell ref="I112:L112"/>
    <mergeCell ref="M112:P112"/>
    <mergeCell ref="Q112:T112"/>
    <mergeCell ref="B113:H113"/>
    <mergeCell ref="I113:L113"/>
    <mergeCell ref="M113:P113"/>
    <mergeCell ref="Q113:T113"/>
    <mergeCell ref="B108:L108"/>
    <mergeCell ref="M108:O108"/>
    <mergeCell ref="P108:T108"/>
    <mergeCell ref="B111:H111"/>
    <mergeCell ref="I111:L111"/>
    <mergeCell ref="M111:P111"/>
    <mergeCell ref="Q111:T111"/>
    <mergeCell ref="B106:L106"/>
    <mergeCell ref="M106:O106"/>
    <mergeCell ref="P106:T106"/>
    <mergeCell ref="B107:L107"/>
    <mergeCell ref="M107:O107"/>
    <mergeCell ref="P107:T107"/>
    <mergeCell ref="B104:L104"/>
    <mergeCell ref="M104:O104"/>
    <mergeCell ref="P104:T104"/>
    <mergeCell ref="B105:L105"/>
    <mergeCell ref="M105:O105"/>
    <mergeCell ref="P105:T105"/>
    <mergeCell ref="B102:L102"/>
    <mergeCell ref="M102:O102"/>
    <mergeCell ref="P102:T102"/>
    <mergeCell ref="B103:L103"/>
    <mergeCell ref="M103:O103"/>
    <mergeCell ref="P103:T103"/>
    <mergeCell ref="B99:T99"/>
    <mergeCell ref="B100:L100"/>
    <mergeCell ref="M100:O100"/>
    <mergeCell ref="P100:T100"/>
    <mergeCell ref="B101:L101"/>
    <mergeCell ref="M101:O101"/>
    <mergeCell ref="P101:T101"/>
    <mergeCell ref="B95:L95"/>
    <mergeCell ref="M95:O95"/>
    <mergeCell ref="P95:T95"/>
    <mergeCell ref="B96:L96"/>
    <mergeCell ref="M96:O96"/>
    <mergeCell ref="P96:T96"/>
    <mergeCell ref="B93:L93"/>
    <mergeCell ref="M93:O93"/>
    <mergeCell ref="P93:T93"/>
    <mergeCell ref="B94:L94"/>
    <mergeCell ref="M94:O94"/>
    <mergeCell ref="P94:T94"/>
    <mergeCell ref="B91:L91"/>
    <mergeCell ref="M91:O91"/>
    <mergeCell ref="P91:T91"/>
    <mergeCell ref="B92:L92"/>
    <mergeCell ref="M92:O92"/>
    <mergeCell ref="P92:T92"/>
    <mergeCell ref="B87:T88"/>
    <mergeCell ref="B89:L89"/>
    <mergeCell ref="M89:O89"/>
    <mergeCell ref="P89:T89"/>
    <mergeCell ref="B90:L90"/>
    <mergeCell ref="M90:O90"/>
    <mergeCell ref="P90:T90"/>
    <mergeCell ref="B83:L83"/>
    <mergeCell ref="M83:O83"/>
    <mergeCell ref="P83:T83"/>
    <mergeCell ref="B84:L84"/>
    <mergeCell ref="M84:O84"/>
    <mergeCell ref="P84:T84"/>
    <mergeCell ref="B81:L81"/>
    <mergeCell ref="M81:O81"/>
    <mergeCell ref="P81:T81"/>
    <mergeCell ref="B82:L82"/>
    <mergeCell ref="M82:O82"/>
    <mergeCell ref="P82:T82"/>
    <mergeCell ref="B79:L79"/>
    <mergeCell ref="M79:O79"/>
    <mergeCell ref="P79:T79"/>
    <mergeCell ref="B80:L80"/>
    <mergeCell ref="M80:O80"/>
    <mergeCell ref="P80:T80"/>
    <mergeCell ref="B77:L77"/>
    <mergeCell ref="M77:O77"/>
    <mergeCell ref="P77:T77"/>
    <mergeCell ref="B78:L78"/>
    <mergeCell ref="M78:O78"/>
    <mergeCell ref="P78:T78"/>
    <mergeCell ref="B75:L75"/>
    <mergeCell ref="M75:O75"/>
    <mergeCell ref="P75:T75"/>
    <mergeCell ref="B76:L76"/>
    <mergeCell ref="M76:O76"/>
    <mergeCell ref="P76:T76"/>
    <mergeCell ref="B72:T72"/>
    <mergeCell ref="B73:L73"/>
    <mergeCell ref="M73:O73"/>
    <mergeCell ref="P73:T73"/>
    <mergeCell ref="B74:L74"/>
    <mergeCell ref="M74:O74"/>
    <mergeCell ref="P74:T74"/>
    <mergeCell ref="B68:L68"/>
    <mergeCell ref="M68:O68"/>
    <mergeCell ref="P68:T68"/>
    <mergeCell ref="B69:L69"/>
    <mergeCell ref="M69:O69"/>
    <mergeCell ref="P69:T69"/>
    <mergeCell ref="B66:L66"/>
    <mergeCell ref="M66:O66"/>
    <mergeCell ref="P66:T66"/>
    <mergeCell ref="B67:L67"/>
    <mergeCell ref="M67:O67"/>
    <mergeCell ref="P67:T67"/>
    <mergeCell ref="B64:L64"/>
    <mergeCell ref="M64:O64"/>
    <mergeCell ref="P64:T64"/>
    <mergeCell ref="B65:L65"/>
    <mergeCell ref="M65:O65"/>
    <mergeCell ref="P65:T65"/>
    <mergeCell ref="B62:L62"/>
    <mergeCell ref="M62:O62"/>
    <mergeCell ref="P62:T62"/>
    <mergeCell ref="B63:L63"/>
    <mergeCell ref="M63:O63"/>
    <mergeCell ref="P63:T63"/>
    <mergeCell ref="B56:H56"/>
    <mergeCell ref="I56:K56"/>
    <mergeCell ref="L56:M56"/>
    <mergeCell ref="N56:T56"/>
    <mergeCell ref="B61:L61"/>
    <mergeCell ref="M61:O61"/>
    <mergeCell ref="P61:T61"/>
    <mergeCell ref="B54:H54"/>
    <mergeCell ref="I54:K54"/>
    <mergeCell ref="L54:M54"/>
    <mergeCell ref="N54:T54"/>
    <mergeCell ref="B55:H55"/>
    <mergeCell ref="I55:K55"/>
    <mergeCell ref="L55:M55"/>
    <mergeCell ref="N55:T55"/>
    <mergeCell ref="B52:H52"/>
    <mergeCell ref="I52:K52"/>
    <mergeCell ref="L52:M52"/>
    <mergeCell ref="N52:T52"/>
    <mergeCell ref="B53:H53"/>
    <mergeCell ref="I53:K53"/>
    <mergeCell ref="L53:M53"/>
    <mergeCell ref="N53:T53"/>
    <mergeCell ref="B50:H50"/>
    <mergeCell ref="I50:K50"/>
    <mergeCell ref="L50:M50"/>
    <mergeCell ref="N50:T50"/>
    <mergeCell ref="B51:H51"/>
    <mergeCell ref="I51:K51"/>
    <mergeCell ref="L51:M51"/>
    <mergeCell ref="N51:T51"/>
    <mergeCell ref="B46:K46"/>
    <mergeCell ref="L46:T46"/>
    <mergeCell ref="B47:E47"/>
    <mergeCell ref="F47:J47"/>
    <mergeCell ref="B49:H49"/>
    <mergeCell ref="I49:K49"/>
    <mergeCell ref="L49:M49"/>
    <mergeCell ref="N49:T49"/>
    <mergeCell ref="B43:K43"/>
    <mergeCell ref="L43:T43"/>
    <mergeCell ref="B44:K44"/>
    <mergeCell ref="L44:T44"/>
    <mergeCell ref="B45:K45"/>
    <mergeCell ref="L45:T45"/>
    <mergeCell ref="B40:K40"/>
    <mergeCell ref="L40:T40"/>
    <mergeCell ref="B41:K41"/>
    <mergeCell ref="L41:T41"/>
    <mergeCell ref="B42:K42"/>
    <mergeCell ref="L42:T42"/>
    <mergeCell ref="B35:H35"/>
    <mergeCell ref="I35:J35"/>
    <mergeCell ref="L35:T35"/>
    <mergeCell ref="B36:H36"/>
    <mergeCell ref="I36:J36"/>
    <mergeCell ref="L36:T36"/>
    <mergeCell ref="B32:F32"/>
    <mergeCell ref="G32:J32"/>
    <mergeCell ref="L32:P32"/>
    <mergeCell ref="Q32:T32"/>
    <mergeCell ref="B33:F33"/>
    <mergeCell ref="G33:J33"/>
    <mergeCell ref="L33:T33"/>
    <mergeCell ref="D28:J28"/>
    <mergeCell ref="L28:M28"/>
    <mergeCell ref="N28:T28"/>
    <mergeCell ref="D29:J29"/>
    <mergeCell ref="L29:M29"/>
    <mergeCell ref="N29:T29"/>
    <mergeCell ref="D24:J24"/>
    <mergeCell ref="L24:M24"/>
    <mergeCell ref="N24:T24"/>
    <mergeCell ref="D25:J25"/>
    <mergeCell ref="L25:M25"/>
    <mergeCell ref="N25:T25"/>
    <mergeCell ref="B18:J18"/>
    <mergeCell ref="K18:T18"/>
    <mergeCell ref="B19:J19"/>
    <mergeCell ref="K19:T19"/>
    <mergeCell ref="B20:J20"/>
    <mergeCell ref="K20:T20"/>
    <mergeCell ref="B15:J15"/>
    <mergeCell ref="K15:T15"/>
    <mergeCell ref="B16:J16"/>
    <mergeCell ref="K16:T16"/>
    <mergeCell ref="B17:J17"/>
    <mergeCell ref="K17:T17"/>
    <mergeCell ref="B10:F10"/>
    <mergeCell ref="G10:T10"/>
    <mergeCell ref="B11:F11"/>
    <mergeCell ref="G11:T11"/>
    <mergeCell ref="B12:F12"/>
    <mergeCell ref="G12:T12"/>
    <mergeCell ref="B5:I5"/>
    <mergeCell ref="J5:T5"/>
    <mergeCell ref="B6:I6"/>
    <mergeCell ref="J6:T6"/>
    <mergeCell ref="B7:I7"/>
    <mergeCell ref="J7:T7"/>
  </mergeCells>
  <conditionalFormatting sqref="B40:B46">
    <cfRule type="notContainsBlanks" dxfId="124" priority="34">
      <formula>LEN(TRIM(B40))&gt;0</formula>
    </cfRule>
  </conditionalFormatting>
  <conditionalFormatting sqref="D24:J25">
    <cfRule type="containsBlanks" dxfId="123" priority="15">
      <formula>LEN(TRIM(D24))=0</formula>
    </cfRule>
  </conditionalFormatting>
  <conditionalFormatting sqref="D28:J29">
    <cfRule type="containsBlanks" dxfId="122" priority="2">
      <formula>LEN(TRIM(D28))=0</formula>
    </cfRule>
  </conditionalFormatting>
  <conditionalFormatting sqref="G32:J33">
    <cfRule type="containsBlanks" dxfId="121" priority="11">
      <formula>LEN(TRIM(G32))=0</formula>
    </cfRule>
  </conditionalFormatting>
  <conditionalFormatting sqref="G10:T10">
    <cfRule type="containsBlanks" dxfId="120" priority="18">
      <formula>LEN(TRIM(G10))=0</formula>
    </cfRule>
  </conditionalFormatting>
  <conditionalFormatting sqref="G11:T12">
    <cfRule type="containsBlanks" dxfId="119" priority="29">
      <formula>LEN(TRIM(G11))=0</formula>
    </cfRule>
  </conditionalFormatting>
  <conditionalFormatting sqref="I35:I36">
    <cfRule type="containsBlanks" dxfId="118" priority="7">
      <formula>LEN(TRIM(I35))=0</formula>
    </cfRule>
  </conditionalFormatting>
  <conditionalFormatting sqref="J5:T5">
    <cfRule type="containsText" dxfId="117" priority="33" operator="containsText" text="Nome do Cliente">
      <formula>NOT(ISERROR(SEARCH("Nome do Cliente",J5)))</formula>
    </cfRule>
  </conditionalFormatting>
  <conditionalFormatting sqref="J5:T7">
    <cfRule type="containsBlanks" dxfId="116" priority="31">
      <formula>LEN(TRIM(J5))=0</formula>
    </cfRule>
  </conditionalFormatting>
  <conditionalFormatting sqref="J6:T6">
    <cfRule type="containsText" dxfId="115" priority="32" operator="containsText" text="01/01/2023">
      <formula>NOT(ISERROR(SEARCH("01/01/2023",J6)))</formula>
    </cfRule>
  </conditionalFormatting>
  <conditionalFormatting sqref="J7:T7">
    <cfRule type="containsText" dxfId="114" priority="30" operator="containsText" text="Nome do solicitante">
      <formula>NOT(ISERROR(SEARCH("Nome do solicitante",J7)))</formula>
    </cfRule>
  </conditionalFormatting>
  <conditionalFormatting sqref="L39">
    <cfRule type="notContainsBlanks" dxfId="113" priority="36">
      <formula>LEN(TRIM(L39))&gt;0</formula>
    </cfRule>
  </conditionalFormatting>
  <conditionalFormatting sqref="L33:T33">
    <cfRule type="beginsWith" dxfId="111" priority="8" operator="beginsWith" text="ABORTAR">
      <formula>LEFT(L33,LEN("ABORTAR"))="ABORTAR"</formula>
    </cfRule>
    <cfRule type="beginsWith" dxfId="110" priority="9" operator="beginsWith" text="Print">
      <formula>LEFT(L33,LEN("Print"))="Print"</formula>
    </cfRule>
    <cfRule type="beginsWith" dxfId="109" priority="10" operator="beginsWith" text="ALERTA">
      <formula>LEFT(L33,LEN("ALERTA"))="ALERTA"</formula>
    </cfRule>
  </conditionalFormatting>
  <conditionalFormatting sqref="L35:T36">
    <cfRule type="beginsWith" dxfId="108" priority="4" operator="beginsWith" text="ABORTAR">
      <formula>LEFT(L35,LEN("ABORTAR"))="ABORTAR"</formula>
    </cfRule>
    <cfRule type="beginsWith" dxfId="107" priority="5" operator="beginsWith" text="Print">
      <formula>LEFT(L35,LEN("Print"))="Print"</formula>
    </cfRule>
    <cfRule type="beginsWith" dxfId="106" priority="6" operator="beginsWith" text="ALERTA">
      <formula>LEFT(L35,LEN("ALERTA"))="ALERTA"</formula>
    </cfRule>
  </conditionalFormatting>
  <conditionalFormatting sqref="L40:T40">
    <cfRule type="expression" dxfId="105" priority="28">
      <formula>$B$40&lt;&gt;""</formula>
    </cfRule>
    <cfRule type="expression" dxfId="104" priority="27">
      <formula>AND($B$40&lt;&gt;"",$L$40="")</formula>
    </cfRule>
  </conditionalFormatting>
  <conditionalFormatting sqref="L41:T41">
    <cfRule type="expression" dxfId="103" priority="26">
      <formula>AND($B$41&lt;&gt;"",$L$41="")</formula>
    </cfRule>
  </conditionalFormatting>
  <conditionalFormatting sqref="L41:T46">
    <cfRule type="notContainsBlanks" dxfId="102" priority="20">
      <formula>LEN(TRIM(L41))&gt;0</formula>
    </cfRule>
  </conditionalFormatting>
  <conditionalFormatting sqref="L42:T42">
    <cfRule type="expression" dxfId="101" priority="25">
      <formula>AND($B$42&lt;&gt;"",$L$42="")</formula>
    </cfRule>
  </conditionalFormatting>
  <conditionalFormatting sqref="L43:T43">
    <cfRule type="expression" dxfId="100" priority="24">
      <formula>AND($B$43&lt;&gt;"",$L$43="")</formula>
    </cfRule>
  </conditionalFormatting>
  <conditionalFormatting sqref="L44:T44">
    <cfRule type="expression" dxfId="99" priority="23">
      <formula>AND($B$44&lt;&gt;"",$L$44="")</formula>
    </cfRule>
  </conditionalFormatting>
  <conditionalFormatting sqref="L45:T45">
    <cfRule type="expression" dxfId="98" priority="22">
      <formula>AND($B$45&lt;&gt;"",$L$45="")</formula>
    </cfRule>
  </conditionalFormatting>
  <conditionalFormatting sqref="L46:T46">
    <cfRule type="expression" dxfId="97" priority="21">
      <formula>AND($B$46&lt;&gt;"",$L$46="")</formula>
    </cfRule>
  </conditionalFormatting>
  <conditionalFormatting sqref="N24:T25">
    <cfRule type="containsBlanks" dxfId="96" priority="17">
      <formula>LEN(TRIM(N24))=0</formula>
    </cfRule>
  </conditionalFormatting>
  <conditionalFormatting sqref="N28:T29">
    <cfRule type="containsBlanks" dxfId="95" priority="1">
      <formula>LEN(TRIM(N28))=0</formula>
    </cfRule>
  </conditionalFormatting>
  <conditionalFormatting sqref="Q32:T32">
    <cfRule type="containsBlanks" dxfId="94" priority="12">
      <formula>LEN(TRIM(Q32))=0</formula>
    </cfRule>
  </conditionalFormatting>
  <conditionalFormatting sqref="Q157:T157">
    <cfRule type="containsBlanks" dxfId="93" priority="19">
      <formula>LEN(TRIM(Q157))=0</formula>
    </cfRule>
  </conditionalFormatting>
  <dataValidations count="9">
    <dataValidation type="list" allowBlank="1" showInputMessage="1" showErrorMessage="1" sqref="B157:G157" xr:uid="{9C34A663-7E5D-2A45-89EF-439CE88306C9}">
      <formula1>"Wilson Kempim Jr."</formula1>
    </dataValidation>
    <dataValidation type="list" allowBlank="1" showInputMessage="1" showErrorMessage="1" sqref="Q32:T32" xr:uid="{031C6AB6-6A50-5C46-BB02-2E9B1371B949}">
      <formula1>"WINDOWS,LINUX,WINDOWS &amp; LINUX"</formula1>
    </dataValidation>
    <dataValidation type="list" allowBlank="1" showInputMessage="1" showErrorMessage="1" sqref="G32:J32" xr:uid="{5EE177CE-F900-7F4C-B94F-ABAB90986DFA}">
      <formula1>"PRODUÇÃO,HOMOLOGAÇÃO,TESTES,TREINAMENTO,DESENVOLVIMENTO"</formula1>
    </dataValidation>
    <dataValidation type="list" allowBlank="1" showInputMessage="1" showErrorMessage="1" sqref="Q157:T157" xr:uid="{961FD774-719C-A54F-8341-596B4330C345}">
      <formula1>"APROVADO,REPROVADO"</formula1>
    </dataValidation>
    <dataValidation type="list" allowBlank="1" showInputMessage="1" showErrorMessage="1" sqref="M62:O70" xr:uid="{F4C81F78-BDFD-8D44-9C2D-44F2FF289AE7}">
      <formula1>"NECESSÁRIO,OBRIGATÓRIO"</formula1>
    </dataValidation>
    <dataValidation type="list" allowBlank="1" showInputMessage="1" showErrorMessage="1" sqref="L50:M56" xr:uid="{74A0D32E-A245-2249-A43D-4CC612AAB4DC}">
      <formula1>"ALTO,MÉDIO,BAIXO"</formula1>
    </dataValidation>
    <dataValidation type="list" allowBlank="1" showInputMessage="1" showErrorMessage="1" sqref="I50:K56" xr:uid="{32B05FAB-9AE0-5547-8716-9117BD23AA3E}">
      <formula1>"ALTA,MÉDIA,BAIXA"</formula1>
    </dataValidation>
    <dataValidation type="list" allowBlank="1" showInputMessage="1" showErrorMessage="1" sqref="G11" xr:uid="{0B25022F-07D3-8F41-BDC4-E2BB696EDFF3}">
      <formula1>"PROGRAMADA,EMERGENCIAL"</formula1>
    </dataValidation>
    <dataValidation type="list" allowBlank="1" showInputMessage="1" showErrorMessage="1" sqref="M74:O84 S37:S38 G33:H34 J33:J34 I38 I33:I36" xr:uid="{0C5743F9-C084-2E45-8B27-C96F9066CDD0}">
      <formula1>"SIM,NÃO"</formula1>
    </dataValidation>
  </dataValidations>
  <pageMargins left="0.25" right="0.25" top="0.75" bottom="0.75" header="0.3" footer="0.3"/>
  <pageSetup paperSize="5" orientation="portrait" r:id="rId1"/>
  <headerFooter differentFirst="1">
    <oddHeader>&amp;L&amp;G</oddHeader>
    <oddFooter>&amp;RPágina &amp;P de &amp;N</oddFooter>
    <firstHeader>&amp;L&amp;G</firstHeader>
    <firstFooter>&amp;RPágina &amp;P de &amp;N</first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12F81E8B-C178-0040-A4AB-4AB7D2B7DE67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5" operator="containsText" id="{B76533EA-60F1-9744-8C6E-EB75CAC0715B}">
            <xm:f>NOT(ISERROR(SEARCH("Risco de perda de dados sem o flashback!",L39)))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119A06-7296-435C-AD95-D73C1D76D51E}">
          <x14:formula1>
            <xm:f>#REF!</xm:f>
          </x14:formula1>
          <xm:sqref>D28:J28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14A0-07A9-403A-9B2A-DC216CA08339}">
  <dimension ref="B4:T137"/>
  <sheetViews>
    <sheetView showGridLines="0" topLeftCell="A28" zoomScale="110" zoomScaleNormal="110" workbookViewId="0">
      <selection activeCell="P61" activeCellId="2" sqref="P98:T98 P85:T85 P61:T61"/>
    </sheetView>
  </sheetViews>
  <sheetFormatPr defaultColWidth="8.88671875" defaultRowHeight="14.4" x14ac:dyDescent="0.3"/>
  <cols>
    <col min="1" max="1" width="1.6640625" customWidth="1"/>
    <col min="2" max="7" width="5.109375" customWidth="1"/>
    <col min="8" max="8" width="8" customWidth="1"/>
    <col min="9" max="11" width="5.109375" customWidth="1"/>
    <col min="12" max="12" width="8.44140625" customWidth="1"/>
    <col min="13" max="20" width="5.109375" customWidth="1"/>
    <col min="21" max="22" width="1.6640625" customWidth="1"/>
    <col min="27" max="27" width="12.109375" bestFit="1" customWidth="1"/>
    <col min="28" max="28" width="107.6640625" bestFit="1" customWidth="1"/>
  </cols>
  <sheetData>
    <row r="4" spans="2:20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</row>
    <row r="5" spans="2:20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0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0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 x14ac:dyDescent="0.3">
      <c r="B8" s="6"/>
      <c r="C8" s="6"/>
      <c r="D8" s="6"/>
      <c r="E8" s="6"/>
      <c r="F8" s="6"/>
      <c r="G8" s="6"/>
      <c r="H8" s="6"/>
      <c r="I8" s="6"/>
      <c r="J8" s="6"/>
    </row>
    <row r="9" spans="2:20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0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0" x14ac:dyDescent="0.3">
      <c r="B11" s="27" t="s">
        <v>12</v>
      </c>
      <c r="C11" s="27"/>
      <c r="D11" s="27"/>
      <c r="E11" s="27"/>
      <c r="F11" s="27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0" x14ac:dyDescent="0.3">
      <c r="B12" s="27" t="s">
        <v>13</v>
      </c>
      <c r="C12" s="27"/>
      <c r="D12" s="27"/>
      <c r="E12" s="27"/>
      <c r="F12" s="27"/>
      <c r="G12" s="42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0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0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0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0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4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x14ac:dyDescent="0.3">
      <c r="B33" s="59" t="s">
        <v>32</v>
      </c>
      <c r="C33" s="60"/>
      <c r="D33" s="60"/>
      <c r="E33" s="60"/>
      <c r="F33" s="60"/>
      <c r="G33" s="60"/>
      <c r="H33" s="60"/>
      <c r="I33" s="43" t="s">
        <v>30</v>
      </c>
      <c r="J33" s="43"/>
      <c r="L33" s="52" t="str" cm="1">
        <f t="array" ref="L33">_xlfn.IFS(
I33="NÃO","ALERTA: necessário ter acesso à console Appmgr!",
I33="SIM","",
I33="",""
)</f>
        <v/>
      </c>
      <c r="M33" s="52"/>
      <c r="N33" s="52"/>
      <c r="O33" s="52"/>
      <c r="P33" s="52"/>
      <c r="Q33" s="52"/>
      <c r="R33" s="52"/>
      <c r="S33" s="52"/>
      <c r="T33" s="52"/>
    </row>
    <row r="35" spans="2:20" ht="18" x14ac:dyDescent="0.35">
      <c r="B35" s="1" t="s">
        <v>35</v>
      </c>
      <c r="C35" s="13"/>
      <c r="D35" s="13"/>
      <c r="E35" s="13"/>
      <c r="F35" s="13"/>
      <c r="L35" s="14"/>
      <c r="M35" s="14"/>
      <c r="N35" s="14"/>
      <c r="O35" s="14"/>
      <c r="P35" s="14"/>
      <c r="Q35" s="14"/>
      <c r="R35" s="14"/>
      <c r="S35" s="14"/>
      <c r="T35" s="14"/>
    </row>
    <row r="36" spans="2:20" x14ac:dyDescent="0.3">
      <c r="B36" s="54" t="s">
        <v>251</v>
      </c>
      <c r="C36" s="54"/>
      <c r="D36" s="54"/>
      <c r="E36" s="54"/>
      <c r="F36" s="54"/>
      <c r="G36" s="54"/>
      <c r="H36" s="54"/>
      <c r="I36" s="54"/>
      <c r="J36" s="54"/>
      <c r="K36" s="54"/>
      <c r="L36" s="55" t="s">
        <v>36</v>
      </c>
      <c r="M36" s="55"/>
      <c r="N36" s="55"/>
      <c r="O36" s="55"/>
      <c r="P36" s="55"/>
      <c r="Q36" s="55"/>
      <c r="R36" s="55"/>
      <c r="S36" s="55"/>
      <c r="T36" s="55"/>
    </row>
    <row r="37" spans="2:20" x14ac:dyDescent="0.3">
      <c r="B37" s="54" t="s">
        <v>251</v>
      </c>
      <c r="C37" s="54"/>
      <c r="D37" s="54"/>
      <c r="E37" s="54"/>
      <c r="F37" s="54"/>
      <c r="G37" s="54"/>
      <c r="H37" s="54"/>
      <c r="I37" s="54"/>
      <c r="J37" s="54"/>
      <c r="K37" s="54"/>
      <c r="L37" s="56">
        <v>0.5625</v>
      </c>
      <c r="M37" s="56"/>
      <c r="N37" s="56"/>
      <c r="O37" s="56"/>
      <c r="P37" s="56"/>
      <c r="Q37" s="56"/>
      <c r="R37" s="56"/>
      <c r="S37" s="56"/>
      <c r="T37" s="56"/>
    </row>
    <row r="38" spans="2:20" x14ac:dyDescent="0.3">
      <c r="B38" s="54" t="str">
        <f>IF(L37&lt;&gt;"","Tempo total de execução:","")</f>
        <v>Tempo total de execução:</v>
      </c>
      <c r="C38" s="54"/>
      <c r="D38" s="54"/>
      <c r="E38" s="54"/>
      <c r="F38" s="54"/>
      <c r="G38" s="54"/>
      <c r="H38" s="54"/>
      <c r="I38" s="54"/>
      <c r="J38" s="54"/>
      <c r="K38" s="54"/>
      <c r="L38" s="57">
        <v>8.3333333333333329E-2</v>
      </c>
      <c r="M38" s="58"/>
      <c r="N38" s="58"/>
      <c r="O38" s="58"/>
      <c r="P38" s="58"/>
      <c r="Q38" s="58"/>
      <c r="R38" s="58"/>
      <c r="S38" s="58"/>
      <c r="T38" s="58"/>
    </row>
    <row r="39" spans="2:20" x14ac:dyDescent="0.3">
      <c r="B39" s="54" t="str">
        <f>IF(L38&lt;&gt;"","Tempo total de paralização:","")</f>
        <v>Tempo total de paralização:</v>
      </c>
      <c r="C39" s="54"/>
      <c r="D39" s="54"/>
      <c r="E39" s="54"/>
      <c r="F39" s="54"/>
      <c r="G39" s="54"/>
      <c r="H39" s="54"/>
      <c r="I39" s="54"/>
      <c r="J39" s="54"/>
      <c r="K39" s="54"/>
      <c r="L39" s="63">
        <v>6.25E-2</v>
      </c>
      <c r="M39" s="64"/>
      <c r="N39" s="64"/>
      <c r="O39" s="64"/>
      <c r="P39" s="64"/>
      <c r="Q39" s="64"/>
      <c r="R39" s="64"/>
      <c r="S39" s="64"/>
      <c r="T39" s="65"/>
    </row>
    <row r="40" spans="2:20" x14ac:dyDescent="0.3">
      <c r="B40" s="54" t="str">
        <f>IF(L39&lt;&gt;"","Tempo total para testes","")</f>
        <v>Tempo total para testes</v>
      </c>
      <c r="C40" s="54"/>
      <c r="D40" s="54"/>
      <c r="E40" s="54"/>
      <c r="F40" s="54"/>
      <c r="G40" s="54"/>
      <c r="H40" s="54"/>
      <c r="I40" s="54"/>
      <c r="J40" s="54"/>
      <c r="K40" s="54"/>
      <c r="L40" s="63">
        <v>4.1666666666666664E-2</v>
      </c>
      <c r="M40" s="64"/>
      <c r="N40" s="64"/>
      <c r="O40" s="64"/>
      <c r="P40" s="64"/>
      <c r="Q40" s="64"/>
      <c r="R40" s="64"/>
      <c r="S40" s="64"/>
      <c r="T40" s="65"/>
    </row>
    <row r="41" spans="2:20" x14ac:dyDescent="0.3">
      <c r="B41" s="54" t="str">
        <f>IF(L40&lt;&gt;"","Tempo total para tentativa de correções:","")</f>
        <v>Tempo total para tentativa de correções:</v>
      </c>
      <c r="C41" s="54"/>
      <c r="D41" s="54"/>
      <c r="E41" s="54"/>
      <c r="F41" s="54"/>
      <c r="G41" s="54"/>
      <c r="H41" s="54"/>
      <c r="I41" s="54"/>
      <c r="J41" s="54"/>
      <c r="K41" s="54"/>
      <c r="L41" s="63">
        <v>8.3333333333333329E-2</v>
      </c>
      <c r="M41" s="64"/>
      <c r="N41" s="64"/>
      <c r="O41" s="64"/>
      <c r="P41" s="64"/>
      <c r="Q41" s="64"/>
      <c r="R41" s="64"/>
      <c r="S41" s="64"/>
      <c r="T41" s="65"/>
    </row>
    <row r="42" spans="2:20" x14ac:dyDescent="0.3">
      <c r="B42" s="54" t="str">
        <f>IF(L41&lt;&gt;"","Tempo total para plano de volta:","")</f>
        <v>Tempo total para plano de volta:</v>
      </c>
      <c r="C42" s="54"/>
      <c r="D42" s="54"/>
      <c r="E42" s="54"/>
      <c r="F42" s="54"/>
      <c r="G42" s="54"/>
      <c r="H42" s="54"/>
      <c r="I42" s="54"/>
      <c r="J42" s="54"/>
      <c r="K42" s="54"/>
      <c r="L42" s="63">
        <v>8.3333333333333329E-2</v>
      </c>
      <c r="M42" s="64"/>
      <c r="N42" s="64"/>
      <c r="O42" s="64"/>
      <c r="P42" s="64"/>
      <c r="Q42" s="64"/>
      <c r="R42" s="64"/>
      <c r="S42" s="64"/>
      <c r="T42" s="65"/>
    </row>
    <row r="43" spans="2:20" x14ac:dyDescent="0.3">
      <c r="B43" s="66"/>
      <c r="C43" s="67"/>
      <c r="D43" s="67"/>
      <c r="E43" s="68"/>
      <c r="F43" s="69"/>
      <c r="G43" s="70"/>
      <c r="H43" s="70"/>
      <c r="I43" s="70"/>
      <c r="J43" s="71"/>
    </row>
    <row r="44" spans="2:20" ht="18" x14ac:dyDescent="0.35">
      <c r="B44" s="4" t="s">
        <v>37</v>
      </c>
      <c r="C44" s="7"/>
      <c r="D44" s="7"/>
      <c r="E44" s="8"/>
      <c r="F44" s="9"/>
      <c r="G44" s="10"/>
      <c r="H44" s="10"/>
      <c r="I44" s="10"/>
      <c r="J44" s="11"/>
    </row>
    <row r="45" spans="2:20" s="19" customFormat="1" x14ac:dyDescent="0.3">
      <c r="B45" s="72" t="s">
        <v>38</v>
      </c>
      <c r="C45" s="72"/>
      <c r="D45" s="72"/>
      <c r="E45" s="72"/>
      <c r="F45" s="72"/>
      <c r="G45" s="72"/>
      <c r="H45" s="72"/>
      <c r="I45" s="73" t="s">
        <v>39</v>
      </c>
      <c r="J45" s="73"/>
      <c r="K45" s="73"/>
      <c r="L45" s="73" t="s">
        <v>40</v>
      </c>
      <c r="M45" s="73"/>
      <c r="N45" s="72" t="s">
        <v>41</v>
      </c>
      <c r="O45" s="72"/>
      <c r="P45" s="72"/>
      <c r="Q45" s="72"/>
      <c r="R45" s="72"/>
      <c r="S45" s="72"/>
      <c r="T45" s="72"/>
    </row>
    <row r="46" spans="2:20" s="19" customFormat="1" ht="15" customHeight="1" x14ac:dyDescent="0.3">
      <c r="B46" s="100" t="s">
        <v>252</v>
      </c>
      <c r="C46" s="101"/>
      <c r="D46" s="101"/>
      <c r="E46" s="101"/>
      <c r="F46" s="101"/>
      <c r="G46" s="101"/>
      <c r="H46" s="102"/>
      <c r="I46" s="80" t="s">
        <v>43</v>
      </c>
      <c r="J46" s="81"/>
      <c r="K46" s="82"/>
      <c r="L46" s="80" t="s">
        <v>44</v>
      </c>
      <c r="M46" s="82"/>
      <c r="N46" s="100" t="s">
        <v>45</v>
      </c>
      <c r="O46" s="101"/>
      <c r="P46" s="101"/>
      <c r="Q46" s="101"/>
      <c r="R46" s="101"/>
      <c r="S46" s="101"/>
      <c r="T46" s="102"/>
    </row>
    <row r="47" spans="2:20" s="19" customFormat="1" ht="15" customHeight="1" x14ac:dyDescent="0.3">
      <c r="B47" s="74" t="s">
        <v>253</v>
      </c>
      <c r="C47" s="74"/>
      <c r="D47" s="74"/>
      <c r="E47" s="74"/>
      <c r="F47" s="74"/>
      <c r="G47" s="74"/>
      <c r="H47" s="74"/>
      <c r="I47" s="75" t="s">
        <v>43</v>
      </c>
      <c r="J47" s="75"/>
      <c r="K47" s="75"/>
      <c r="L47" s="75" t="s">
        <v>44</v>
      </c>
      <c r="M47" s="75"/>
      <c r="N47" s="100" t="s">
        <v>45</v>
      </c>
      <c r="O47" s="101"/>
      <c r="P47" s="101"/>
      <c r="Q47" s="101"/>
      <c r="R47" s="101"/>
      <c r="S47" s="101"/>
      <c r="T47" s="102"/>
    </row>
    <row r="48" spans="2:20" s="19" customFormat="1" ht="15" customHeight="1" x14ac:dyDescent="0.3">
      <c r="B48" s="74" t="s">
        <v>254</v>
      </c>
      <c r="C48" s="74"/>
      <c r="D48" s="74"/>
      <c r="E48" s="74"/>
      <c r="F48" s="74"/>
      <c r="G48" s="74"/>
      <c r="H48" s="74"/>
      <c r="I48" s="75" t="s">
        <v>43</v>
      </c>
      <c r="J48" s="75"/>
      <c r="K48" s="75"/>
      <c r="L48" s="75" t="s">
        <v>44</v>
      </c>
      <c r="M48" s="75"/>
      <c r="N48" s="100" t="s">
        <v>45</v>
      </c>
      <c r="O48" s="101"/>
      <c r="P48" s="101"/>
      <c r="Q48" s="101"/>
      <c r="R48" s="101"/>
      <c r="S48" s="101"/>
      <c r="T48" s="102"/>
    </row>
    <row r="49" spans="2:20" s="19" customFormat="1" x14ac:dyDescent="0.3">
      <c r="B49" s="74" t="s">
        <v>255</v>
      </c>
      <c r="C49" s="74"/>
      <c r="D49" s="74"/>
      <c r="E49" s="74"/>
      <c r="F49" s="74"/>
      <c r="G49" s="74"/>
      <c r="H49" s="74"/>
      <c r="I49" s="75" t="s">
        <v>43</v>
      </c>
      <c r="J49" s="75"/>
      <c r="K49" s="75"/>
      <c r="L49" s="75" t="s">
        <v>44</v>
      </c>
      <c r="M49" s="75"/>
      <c r="N49" s="100" t="s">
        <v>45</v>
      </c>
      <c r="O49" s="101"/>
      <c r="P49" s="101"/>
      <c r="Q49" s="101"/>
      <c r="R49" s="101"/>
      <c r="S49" s="101"/>
      <c r="T49" s="102"/>
    </row>
    <row r="50" spans="2:20" s="19" customFormat="1" x14ac:dyDescent="0.3">
      <c r="B50" s="74"/>
      <c r="C50" s="74"/>
      <c r="D50" s="74"/>
      <c r="E50" s="74"/>
      <c r="F50" s="74"/>
      <c r="G50" s="74"/>
      <c r="H50" s="74"/>
      <c r="I50" s="75"/>
      <c r="J50" s="75"/>
      <c r="K50" s="75"/>
      <c r="L50" s="75"/>
      <c r="M50" s="75"/>
      <c r="N50" s="74"/>
      <c r="O50" s="74"/>
      <c r="P50" s="74"/>
      <c r="Q50" s="74"/>
      <c r="R50" s="74"/>
      <c r="S50" s="74"/>
      <c r="T50" s="74"/>
    </row>
    <row r="51" spans="2:20" s="19" customFormat="1" x14ac:dyDescent="0.3">
      <c r="B51" s="74"/>
      <c r="C51" s="74"/>
      <c r="D51" s="74"/>
      <c r="E51" s="74"/>
      <c r="F51" s="74"/>
      <c r="G51" s="74"/>
      <c r="H51" s="74"/>
      <c r="I51" s="75"/>
      <c r="J51" s="75"/>
      <c r="K51" s="75"/>
      <c r="L51" s="75"/>
      <c r="M51" s="75"/>
      <c r="N51" s="74"/>
      <c r="O51" s="74"/>
      <c r="P51" s="74"/>
      <c r="Q51" s="74"/>
      <c r="R51" s="74"/>
      <c r="S51" s="74"/>
      <c r="T51" s="74"/>
    </row>
    <row r="52" spans="2:20" s="19" customFormat="1" x14ac:dyDescent="0.3">
      <c r="B52" s="74"/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4"/>
      <c r="O52" s="74"/>
      <c r="P52" s="74"/>
      <c r="Q52" s="74"/>
      <c r="R52" s="74"/>
      <c r="S52" s="74"/>
      <c r="T52" s="74"/>
    </row>
    <row r="56" spans="2:20" ht="18" x14ac:dyDescent="0.35">
      <c r="B56" s="4" t="s">
        <v>46</v>
      </c>
    </row>
    <row r="57" spans="2:20" s="19" customFormat="1" x14ac:dyDescent="0.3">
      <c r="B57" s="72" t="s">
        <v>47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3" t="s">
        <v>48</v>
      </c>
      <c r="N57" s="73"/>
      <c r="O57" s="73"/>
      <c r="P57" s="73" t="s">
        <v>49</v>
      </c>
      <c r="Q57" s="73"/>
      <c r="R57" s="73"/>
      <c r="S57" s="73"/>
      <c r="T57" s="73"/>
    </row>
    <row r="58" spans="2:20" s="19" customFormat="1" ht="15" customHeight="1" x14ac:dyDescent="0.3">
      <c r="B58" s="76" t="s">
        <v>256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7" t="s">
        <v>51</v>
      </c>
      <c r="N58" s="77"/>
      <c r="O58" s="77"/>
      <c r="P58" s="77" t="str">
        <f t="shared" ref="P58:P60" si="0">$D$28</f>
        <v>Murilo Moraes</v>
      </c>
      <c r="Q58" s="77"/>
      <c r="R58" s="77"/>
      <c r="S58" s="77"/>
      <c r="T58" s="77"/>
    </row>
    <row r="59" spans="2:20" s="19" customFormat="1" ht="15" customHeight="1" x14ac:dyDescent="0.3">
      <c r="B59" s="76" t="s">
        <v>257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7" t="s">
        <v>51</v>
      </c>
      <c r="N59" s="77"/>
      <c r="O59" s="77"/>
      <c r="P59" s="77" t="str">
        <f t="shared" si="0"/>
        <v>Murilo Moraes</v>
      </c>
      <c r="Q59" s="77"/>
      <c r="R59" s="77"/>
      <c r="S59" s="77"/>
      <c r="T59" s="77"/>
    </row>
    <row r="60" spans="2:20" s="19" customFormat="1" ht="15" customHeight="1" x14ac:dyDescent="0.3">
      <c r="B60" s="76" t="s">
        <v>258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7" t="s">
        <v>51</v>
      </c>
      <c r="N60" s="77"/>
      <c r="O60" s="77"/>
      <c r="P60" s="77" t="str">
        <f t="shared" si="0"/>
        <v>Murilo Moraes</v>
      </c>
      <c r="Q60" s="77"/>
      <c r="R60" s="77"/>
      <c r="S60" s="77"/>
      <c r="T60" s="77"/>
    </row>
    <row r="61" spans="2:20" s="19" customFormat="1" ht="15" customHeight="1" x14ac:dyDescent="0.3">
      <c r="B61" s="76" t="s">
        <v>259</v>
      </c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7" t="s">
        <v>51</v>
      </c>
      <c r="N61" s="77"/>
      <c r="O61" s="77"/>
      <c r="P61" s="77">
        <f t="shared" ref="P61" si="1">$D$24</f>
        <v>0</v>
      </c>
      <c r="Q61" s="77"/>
      <c r="R61" s="77"/>
      <c r="S61" s="77"/>
      <c r="T61" s="77"/>
    </row>
    <row r="62" spans="2:20" x14ac:dyDescent="0.3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7"/>
      <c r="N62" s="77"/>
      <c r="O62" s="77"/>
      <c r="P62" s="78"/>
      <c r="Q62" s="78"/>
      <c r="R62" s="78"/>
      <c r="S62" s="78"/>
      <c r="T62" s="78"/>
    </row>
    <row r="63" spans="2:20" x14ac:dyDescent="0.3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7"/>
      <c r="N63" s="77"/>
      <c r="O63" s="77"/>
      <c r="P63" s="78"/>
      <c r="Q63" s="78"/>
      <c r="R63" s="78"/>
      <c r="S63" s="78"/>
      <c r="T63" s="78"/>
    </row>
    <row r="64" spans="2:20" x14ac:dyDescent="0.3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7"/>
      <c r="N64" s="77"/>
      <c r="O64" s="77"/>
      <c r="P64" s="78"/>
      <c r="Q64" s="78"/>
      <c r="R64" s="78"/>
      <c r="S64" s="78"/>
      <c r="T64" s="78"/>
    </row>
    <row r="65" spans="2:20" x14ac:dyDescent="0.3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7"/>
      <c r="N65" s="77"/>
      <c r="O65" s="77"/>
      <c r="P65" s="78"/>
      <c r="Q65" s="78"/>
      <c r="R65" s="78"/>
      <c r="S65" s="78"/>
      <c r="T65" s="78"/>
    </row>
    <row r="67" spans="2:20" ht="18" x14ac:dyDescent="0.35">
      <c r="B67" s="4" t="s">
        <v>54</v>
      </c>
    </row>
    <row r="68" spans="2:20" ht="15" customHeight="1" x14ac:dyDescent="0.3">
      <c r="B68" s="83" t="s">
        <v>55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</row>
    <row r="69" spans="2:20" x14ac:dyDescent="0.3">
      <c r="B69" s="84" t="s">
        <v>47</v>
      </c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5" t="s">
        <v>56</v>
      </c>
      <c r="N69" s="85"/>
      <c r="O69" s="85"/>
      <c r="P69" s="86" t="s">
        <v>49</v>
      </c>
      <c r="Q69" s="87"/>
      <c r="R69" s="87"/>
      <c r="S69" s="87"/>
      <c r="T69" s="88"/>
    </row>
    <row r="70" spans="2:20" s="19" customFormat="1" ht="15" customHeight="1" x14ac:dyDescent="0.3">
      <c r="B70" s="89" t="s">
        <v>241</v>
      </c>
      <c r="C70" s="90"/>
      <c r="D70" s="90"/>
      <c r="E70" s="90"/>
      <c r="F70" s="90"/>
      <c r="G70" s="90"/>
      <c r="H70" s="90"/>
      <c r="I70" s="90"/>
      <c r="J70" s="90"/>
      <c r="K70" s="90"/>
      <c r="L70" s="91"/>
      <c r="M70" s="79" t="s">
        <v>33</v>
      </c>
      <c r="N70" s="79"/>
      <c r="O70" s="79"/>
      <c r="P70" s="80" t="str">
        <f t="shared" ref="P70:P84" si="2">$D$28</f>
        <v>Murilo Moraes</v>
      </c>
      <c r="Q70" s="81"/>
      <c r="R70" s="81"/>
      <c r="S70" s="81"/>
      <c r="T70" s="82"/>
    </row>
    <row r="71" spans="2:20" s="19" customFormat="1" x14ac:dyDescent="0.3">
      <c r="B71" s="100" t="s">
        <v>260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2"/>
      <c r="M71" s="79" t="s">
        <v>33</v>
      </c>
      <c r="N71" s="79"/>
      <c r="O71" s="79"/>
      <c r="P71" s="80" t="str">
        <f t="shared" si="2"/>
        <v>Murilo Moraes</v>
      </c>
      <c r="Q71" s="81"/>
      <c r="R71" s="81"/>
      <c r="S71" s="81"/>
      <c r="T71" s="82"/>
    </row>
    <row r="72" spans="2:20" s="19" customFormat="1" ht="33.75" customHeight="1" x14ac:dyDescent="0.3">
      <c r="B72" s="89" t="s">
        <v>261</v>
      </c>
      <c r="C72" s="90"/>
      <c r="D72" s="90"/>
      <c r="E72" s="90"/>
      <c r="F72" s="90"/>
      <c r="G72" s="90"/>
      <c r="H72" s="90"/>
      <c r="I72" s="90"/>
      <c r="J72" s="90"/>
      <c r="K72" s="90"/>
      <c r="L72" s="91"/>
      <c r="M72" s="79" t="s">
        <v>33</v>
      </c>
      <c r="N72" s="79"/>
      <c r="O72" s="79"/>
      <c r="P72" s="80" t="str">
        <f t="shared" si="2"/>
        <v>Murilo Moraes</v>
      </c>
      <c r="Q72" s="81"/>
      <c r="R72" s="81"/>
      <c r="S72" s="81"/>
      <c r="T72" s="82"/>
    </row>
    <row r="73" spans="2:20" s="19" customFormat="1" ht="33.75" customHeight="1" x14ac:dyDescent="0.3">
      <c r="B73" s="100" t="s">
        <v>262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2"/>
      <c r="M73" s="79" t="s">
        <v>33</v>
      </c>
      <c r="N73" s="79"/>
      <c r="O73" s="79"/>
      <c r="P73" s="80" t="str">
        <f t="shared" si="2"/>
        <v>Murilo Moraes</v>
      </c>
      <c r="Q73" s="81"/>
      <c r="R73" s="81"/>
      <c r="S73" s="81"/>
      <c r="T73" s="82"/>
    </row>
    <row r="74" spans="2:20" s="15" customFormat="1" ht="129" customHeight="1" x14ac:dyDescent="0.3">
      <c r="B74" s="74" t="s">
        <v>263</v>
      </c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9" t="s">
        <v>33</v>
      </c>
      <c r="N74" s="79"/>
      <c r="O74" s="79"/>
      <c r="P74" s="80" t="str">
        <f t="shared" si="2"/>
        <v>Murilo Moraes</v>
      </c>
      <c r="Q74" s="81"/>
      <c r="R74" s="81"/>
      <c r="S74" s="81"/>
      <c r="T74" s="82"/>
    </row>
    <row r="75" spans="2:20" s="15" customFormat="1" ht="15" customHeight="1" x14ac:dyDescent="0.3">
      <c r="B75" s="74" t="s">
        <v>264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9" t="s">
        <v>30</v>
      </c>
      <c r="N75" s="79"/>
      <c r="O75" s="79"/>
      <c r="P75" s="80" t="str">
        <f t="shared" si="2"/>
        <v>Murilo Moraes</v>
      </c>
      <c r="Q75" s="81"/>
      <c r="R75" s="81"/>
      <c r="S75" s="81"/>
      <c r="T75" s="82"/>
    </row>
    <row r="76" spans="2:20" s="15" customFormat="1" ht="62.25" customHeight="1" x14ac:dyDescent="0.3">
      <c r="B76" s="74" t="s">
        <v>265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9" t="s">
        <v>33</v>
      </c>
      <c r="N76" s="79"/>
      <c r="O76" s="79"/>
      <c r="P76" s="80" t="str">
        <f t="shared" si="2"/>
        <v>Murilo Moraes</v>
      </c>
      <c r="Q76" s="81"/>
      <c r="R76" s="81"/>
      <c r="S76" s="81"/>
      <c r="T76" s="82"/>
    </row>
    <row r="77" spans="2:20" s="15" customFormat="1" ht="15" customHeight="1" x14ac:dyDescent="0.3">
      <c r="B77" s="74" t="s">
        <v>266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9" t="s">
        <v>33</v>
      </c>
      <c r="N77" s="79"/>
      <c r="O77" s="79"/>
      <c r="P77" s="80" t="str">
        <f t="shared" si="2"/>
        <v>Murilo Moraes</v>
      </c>
      <c r="Q77" s="81"/>
      <c r="R77" s="81"/>
      <c r="S77" s="81"/>
      <c r="T77" s="82"/>
    </row>
    <row r="78" spans="2:20" s="15" customFormat="1" ht="15" customHeight="1" x14ac:dyDescent="0.3">
      <c r="B78" s="74" t="s">
        <v>267</v>
      </c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9" t="s">
        <v>30</v>
      </c>
      <c r="N78" s="79"/>
      <c r="O78" s="79"/>
      <c r="P78" s="80" t="str">
        <f t="shared" si="2"/>
        <v>Murilo Moraes</v>
      </c>
      <c r="Q78" s="81"/>
      <c r="R78" s="81"/>
      <c r="S78" s="81"/>
      <c r="T78" s="82"/>
    </row>
    <row r="79" spans="2:20" s="19" customFormat="1" ht="29.25" customHeight="1" x14ac:dyDescent="0.3">
      <c r="B79" s="76" t="s">
        <v>268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 t="s">
        <v>30</v>
      </c>
      <c r="N79" s="79"/>
      <c r="O79" s="79"/>
      <c r="P79" s="80" t="str">
        <f t="shared" si="2"/>
        <v>Murilo Moraes</v>
      </c>
      <c r="Q79" s="81"/>
      <c r="R79" s="81"/>
      <c r="S79" s="81"/>
      <c r="T79" s="82"/>
    </row>
    <row r="80" spans="2:20" s="15" customFormat="1" ht="33" customHeight="1" x14ac:dyDescent="0.3">
      <c r="B80" s="74" t="s">
        <v>269</v>
      </c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9" t="s">
        <v>30</v>
      </c>
      <c r="N80" s="79"/>
      <c r="O80" s="79"/>
      <c r="P80" s="80" t="str">
        <f t="shared" si="2"/>
        <v>Murilo Moraes</v>
      </c>
      <c r="Q80" s="81"/>
      <c r="R80" s="81"/>
      <c r="S80" s="81"/>
      <c r="T80" s="82"/>
    </row>
    <row r="81" spans="2:20" s="15" customFormat="1" ht="58.5" customHeight="1" x14ac:dyDescent="0.3">
      <c r="B81" s="74" t="s">
        <v>270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9" t="s">
        <v>30</v>
      </c>
      <c r="N81" s="79"/>
      <c r="O81" s="79"/>
      <c r="P81" s="80" t="str">
        <f t="shared" si="2"/>
        <v>Murilo Moraes</v>
      </c>
      <c r="Q81" s="81"/>
      <c r="R81" s="81"/>
      <c r="S81" s="81"/>
      <c r="T81" s="82"/>
    </row>
    <row r="82" spans="2:20" s="19" customFormat="1" ht="15.75" customHeight="1" x14ac:dyDescent="0.3">
      <c r="B82" s="76" t="s">
        <v>271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 t="s">
        <v>30</v>
      </c>
      <c r="N82" s="79"/>
      <c r="O82" s="79"/>
      <c r="P82" s="80" t="str">
        <f t="shared" si="2"/>
        <v>Murilo Moraes</v>
      </c>
      <c r="Q82" s="81"/>
      <c r="R82" s="81"/>
      <c r="S82" s="81"/>
      <c r="T82" s="82"/>
    </row>
    <row r="83" spans="2:20" s="19" customFormat="1" ht="38.25" customHeight="1" x14ac:dyDescent="0.3">
      <c r="B83" s="76" t="s">
        <v>272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9" t="s">
        <v>30</v>
      </c>
      <c r="N83" s="79"/>
      <c r="O83" s="79"/>
      <c r="P83" s="80" t="str">
        <f t="shared" si="2"/>
        <v>Murilo Moraes</v>
      </c>
      <c r="Q83" s="81"/>
      <c r="R83" s="81"/>
      <c r="S83" s="81"/>
      <c r="T83" s="82"/>
    </row>
    <row r="84" spans="2:20" s="19" customFormat="1" x14ac:dyDescent="0.3">
      <c r="B84" s="76" t="s">
        <v>273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 t="s">
        <v>33</v>
      </c>
      <c r="N84" s="79"/>
      <c r="O84" s="79"/>
      <c r="P84" s="80" t="str">
        <f t="shared" si="2"/>
        <v>Murilo Moraes</v>
      </c>
      <c r="Q84" s="81"/>
      <c r="R84" s="81"/>
      <c r="S84" s="81"/>
      <c r="T84" s="82"/>
    </row>
    <row r="85" spans="2:20" s="19" customFormat="1" x14ac:dyDescent="0.3">
      <c r="B85" s="76" t="s">
        <v>274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9" t="s">
        <v>33</v>
      </c>
      <c r="N85" s="79"/>
      <c r="O85" s="79"/>
      <c r="P85" s="80">
        <f t="shared" ref="P85" si="3">$D$24</f>
        <v>0</v>
      </c>
      <c r="Q85" s="81"/>
      <c r="R85" s="81"/>
      <c r="S85" s="81"/>
      <c r="T85" s="82"/>
    </row>
    <row r="86" spans="2:20" s="19" customFormat="1" x14ac:dyDescent="0.3">
      <c r="B86" s="76" t="s">
        <v>275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9" t="s">
        <v>33</v>
      </c>
      <c r="N86" s="79"/>
      <c r="O86" s="79"/>
      <c r="P86" s="80" t="str">
        <f>$D$28</f>
        <v>Murilo Moraes</v>
      </c>
      <c r="Q86" s="81"/>
      <c r="R86" s="81"/>
      <c r="S86" s="81"/>
      <c r="T86" s="82"/>
    </row>
    <row r="87" spans="2:20" s="19" customFormat="1" x14ac:dyDescent="0.3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9"/>
      <c r="N87" s="79"/>
      <c r="O87" s="79"/>
      <c r="P87" s="80"/>
      <c r="Q87" s="81"/>
      <c r="R87" s="81"/>
      <c r="S87" s="81"/>
      <c r="T87" s="82"/>
    </row>
    <row r="89" spans="2:20" ht="18" x14ac:dyDescent="0.35">
      <c r="B89" s="4" t="s">
        <v>57</v>
      </c>
    </row>
    <row r="90" spans="2:20" x14ac:dyDescent="0.3">
      <c r="B90" s="83" t="s">
        <v>58</v>
      </c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</row>
    <row r="91" spans="2:20" x14ac:dyDescent="0.3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</row>
    <row r="92" spans="2:20" x14ac:dyDescent="0.3">
      <c r="B92" s="84" t="s">
        <v>47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97" t="s">
        <v>59</v>
      </c>
      <c r="N92" s="97"/>
      <c r="O92" s="97"/>
      <c r="P92" s="86" t="s">
        <v>49</v>
      </c>
      <c r="Q92" s="87"/>
      <c r="R92" s="87"/>
      <c r="S92" s="87"/>
      <c r="T92" s="88"/>
    </row>
    <row r="93" spans="2:20" s="12" customFormat="1" ht="15" customHeight="1" x14ac:dyDescent="0.3">
      <c r="B93" s="74" t="s">
        <v>264</v>
      </c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99">
        <v>2.0833333333333332E-2</v>
      </c>
      <c r="N93" s="77"/>
      <c r="O93" s="77"/>
      <c r="P93" s="80" t="str">
        <f t="shared" ref="P93:P97" si="4">$D$28</f>
        <v>Murilo Moraes</v>
      </c>
      <c r="Q93" s="81"/>
      <c r="R93" s="81"/>
      <c r="S93" s="81"/>
      <c r="T93" s="82"/>
    </row>
    <row r="94" spans="2:20" s="12" customFormat="1" ht="13.8" x14ac:dyDescent="0.3">
      <c r="B94" s="74" t="s">
        <v>276</v>
      </c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99">
        <v>2.0833333333333332E-2</v>
      </c>
      <c r="N94" s="77"/>
      <c r="O94" s="77"/>
      <c r="P94" s="80" t="str">
        <f t="shared" si="4"/>
        <v>Murilo Moraes</v>
      </c>
      <c r="Q94" s="81"/>
      <c r="R94" s="81"/>
      <c r="S94" s="81"/>
      <c r="T94" s="82"/>
    </row>
    <row r="95" spans="2:20" s="12" customFormat="1" ht="31.5" customHeight="1" x14ac:dyDescent="0.3">
      <c r="B95" s="100" t="s">
        <v>277</v>
      </c>
      <c r="C95" s="101"/>
      <c r="D95" s="101"/>
      <c r="E95" s="101"/>
      <c r="F95" s="101"/>
      <c r="G95" s="101"/>
      <c r="H95" s="101"/>
      <c r="I95" s="101"/>
      <c r="J95" s="101"/>
      <c r="K95" s="101"/>
      <c r="L95" s="102"/>
      <c r="M95" s="99">
        <v>6.9444444444444441E-3</v>
      </c>
      <c r="N95" s="77"/>
      <c r="O95" s="77"/>
      <c r="P95" s="80" t="str">
        <f t="shared" si="4"/>
        <v>Murilo Moraes</v>
      </c>
      <c r="Q95" s="81"/>
      <c r="R95" s="81"/>
      <c r="S95" s="81"/>
      <c r="T95" s="82"/>
    </row>
    <row r="96" spans="2:20" s="12" customFormat="1" ht="29.25" customHeight="1" x14ac:dyDescent="0.3">
      <c r="B96" s="74" t="s">
        <v>278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99">
        <v>2.0833333333333332E-2</v>
      </c>
      <c r="N96" s="77"/>
      <c r="O96" s="77"/>
      <c r="P96" s="80" t="str">
        <f t="shared" si="4"/>
        <v>Murilo Moraes</v>
      </c>
      <c r="Q96" s="81"/>
      <c r="R96" s="81"/>
      <c r="S96" s="81"/>
      <c r="T96" s="82"/>
    </row>
    <row r="97" spans="2:20" s="12" customFormat="1" ht="12.75" customHeight="1" x14ac:dyDescent="0.3">
      <c r="B97" s="76" t="s">
        <v>279</v>
      </c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99">
        <v>2.4305555555555556E-2</v>
      </c>
      <c r="N97" s="77"/>
      <c r="O97" s="77"/>
      <c r="P97" s="80" t="str">
        <f t="shared" si="4"/>
        <v>Murilo Moraes</v>
      </c>
      <c r="Q97" s="81"/>
      <c r="R97" s="81"/>
      <c r="S97" s="81"/>
      <c r="T97" s="82"/>
    </row>
    <row r="98" spans="2:20" s="12" customFormat="1" ht="15" customHeight="1" x14ac:dyDescent="0.3">
      <c r="B98" s="74" t="s">
        <v>280</v>
      </c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99">
        <v>4.1666666666666664E-2</v>
      </c>
      <c r="N98" s="77"/>
      <c r="O98" s="77"/>
      <c r="P98" s="92">
        <f t="shared" ref="P98" si="5">$D$24</f>
        <v>0</v>
      </c>
      <c r="Q98" s="93"/>
      <c r="R98" s="93"/>
      <c r="S98" s="93"/>
      <c r="T98" s="94"/>
    </row>
    <row r="99" spans="2:20" s="12" customFormat="1" ht="15" customHeight="1" x14ac:dyDescent="0.3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7"/>
      <c r="N99" s="77"/>
      <c r="O99" s="77"/>
      <c r="P99" s="92"/>
      <c r="Q99" s="93"/>
      <c r="R99" s="93"/>
      <c r="S99" s="93"/>
      <c r="T99" s="94"/>
    </row>
    <row r="100" spans="2:20" s="12" customFormat="1" ht="15" customHeight="1" x14ac:dyDescent="0.35">
      <c r="B100" s="4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spans="2:20" ht="18" x14ac:dyDescent="0.35">
      <c r="B101" s="4" t="s">
        <v>61</v>
      </c>
    </row>
    <row r="102" spans="2:20" ht="15" customHeight="1" x14ac:dyDescent="0.3">
      <c r="B102" s="96" t="s">
        <v>62</v>
      </c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</row>
    <row r="103" spans="2:20" ht="15" customHeight="1" x14ac:dyDescent="0.3">
      <c r="B103" s="84" t="s">
        <v>47</v>
      </c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97" t="s">
        <v>59</v>
      </c>
      <c r="N103" s="97"/>
      <c r="O103" s="97"/>
      <c r="P103" s="86" t="s">
        <v>49</v>
      </c>
      <c r="Q103" s="87"/>
      <c r="R103" s="87"/>
      <c r="S103" s="87"/>
      <c r="T103" s="88"/>
    </row>
    <row r="104" spans="2:20" ht="15" customHeight="1" x14ac:dyDescent="0.3">
      <c r="B104" s="74" t="s">
        <v>281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9">
        <v>2.0833333333333332E-2</v>
      </c>
      <c r="N104" s="77"/>
      <c r="O104" s="77"/>
      <c r="P104" s="92" t="str">
        <f>$D$28</f>
        <v>Murilo Moraes</v>
      </c>
      <c r="Q104" s="93"/>
      <c r="R104" s="93"/>
      <c r="S104" s="93"/>
      <c r="T104" s="94"/>
    </row>
    <row r="105" spans="2:20" s="12" customFormat="1" ht="15" customHeight="1" x14ac:dyDescent="0.3">
      <c r="B105" s="100" t="s">
        <v>282</v>
      </c>
      <c r="C105" s="101"/>
      <c r="D105" s="101"/>
      <c r="E105" s="101"/>
      <c r="F105" s="101"/>
      <c r="G105" s="101"/>
      <c r="H105" s="101"/>
      <c r="I105" s="101"/>
      <c r="J105" s="101"/>
      <c r="K105" s="101"/>
      <c r="L105" s="102"/>
      <c r="M105" s="99"/>
      <c r="N105" s="77"/>
      <c r="O105" s="77"/>
      <c r="P105" s="92"/>
      <c r="Q105" s="93"/>
      <c r="R105" s="93"/>
      <c r="S105" s="93"/>
      <c r="T105" s="94"/>
    </row>
    <row r="106" spans="2:20" s="12" customFormat="1" ht="13.8" x14ac:dyDescent="0.3">
      <c r="B106" s="74" t="s">
        <v>274</v>
      </c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9"/>
      <c r="N106" s="77"/>
      <c r="O106" s="77"/>
      <c r="P106" s="92"/>
      <c r="Q106" s="93"/>
      <c r="R106" s="93"/>
      <c r="S106" s="93"/>
      <c r="T106" s="94"/>
    </row>
    <row r="107" spans="2:20" s="12" customFormat="1" ht="13.8" x14ac:dyDescent="0.3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/>
      <c r="N107" s="77"/>
      <c r="O107" s="77"/>
      <c r="P107" s="92"/>
      <c r="Q107" s="93"/>
      <c r="R107" s="93"/>
      <c r="S107" s="93"/>
      <c r="T107" s="94"/>
    </row>
    <row r="108" spans="2:20" x14ac:dyDescent="0.3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2:20" ht="15" customHeight="1" x14ac:dyDescent="0.35">
      <c r="B109" s="4" t="s">
        <v>64</v>
      </c>
      <c r="C109" s="5"/>
      <c r="D109" s="5"/>
      <c r="E109" s="5"/>
      <c r="F109" s="5"/>
      <c r="G109" s="5"/>
      <c r="H109" s="5"/>
      <c r="I109" s="5"/>
      <c r="J109" s="5"/>
    </row>
    <row r="110" spans="2:20" x14ac:dyDescent="0.3">
      <c r="B110" s="109" t="s">
        <v>0</v>
      </c>
      <c r="C110" s="110"/>
      <c r="D110" s="110"/>
      <c r="E110" s="110"/>
      <c r="F110" s="110"/>
      <c r="G110" s="110"/>
      <c r="H110" s="111"/>
      <c r="I110" s="109" t="s">
        <v>65</v>
      </c>
      <c r="J110" s="110"/>
      <c r="K110" s="110"/>
      <c r="L110" s="111"/>
      <c r="M110" s="86" t="s">
        <v>66</v>
      </c>
      <c r="N110" s="87"/>
      <c r="O110" s="87"/>
      <c r="P110" s="88"/>
      <c r="Q110" s="86" t="s">
        <v>1</v>
      </c>
      <c r="R110" s="87"/>
      <c r="S110" s="87"/>
      <c r="T110" s="88"/>
    </row>
    <row r="111" spans="2:20" ht="15" customHeight="1" x14ac:dyDescent="0.3">
      <c r="B111" s="103" t="s">
        <v>67</v>
      </c>
      <c r="C111" s="104"/>
      <c r="D111" s="104"/>
      <c r="E111" s="104"/>
      <c r="F111" s="104"/>
      <c r="G111" s="104"/>
      <c r="H111" s="105"/>
      <c r="I111" s="103" t="s">
        <v>68</v>
      </c>
      <c r="J111" s="104"/>
      <c r="K111" s="104"/>
      <c r="L111" s="105"/>
      <c r="M111" s="106" t="s">
        <v>53</v>
      </c>
      <c r="N111" s="107"/>
      <c r="O111" s="107"/>
      <c r="P111" s="108"/>
      <c r="Q111" s="106" t="s">
        <v>2</v>
      </c>
      <c r="R111" s="107"/>
      <c r="S111" s="107"/>
      <c r="T111" s="108"/>
    </row>
    <row r="112" spans="2:20" x14ac:dyDescent="0.3">
      <c r="B112" s="103" t="s">
        <v>69</v>
      </c>
      <c r="C112" s="104"/>
      <c r="D112" s="104"/>
      <c r="E112" s="104"/>
      <c r="F112" s="104"/>
      <c r="G112" s="104"/>
      <c r="H112" s="105"/>
      <c r="I112" s="103" t="s">
        <v>70</v>
      </c>
      <c r="J112" s="104"/>
      <c r="K112" s="104"/>
      <c r="L112" s="105"/>
      <c r="M112" s="106" t="s">
        <v>53</v>
      </c>
      <c r="N112" s="107"/>
      <c r="O112" s="107"/>
      <c r="P112" s="108"/>
      <c r="Q112" s="106" t="s">
        <v>5</v>
      </c>
      <c r="R112" s="107"/>
      <c r="S112" s="107"/>
      <c r="T112" s="108"/>
    </row>
    <row r="115" spans="2:20" ht="18" x14ac:dyDescent="0.35">
      <c r="B115" s="4" t="s">
        <v>71</v>
      </c>
      <c r="C115" s="5"/>
      <c r="D115" s="5"/>
      <c r="E115" s="5"/>
      <c r="F115" s="5"/>
      <c r="G115" s="5"/>
      <c r="H115" s="5"/>
      <c r="I115" s="5"/>
      <c r="J115" s="5"/>
    </row>
    <row r="116" spans="2:20" x14ac:dyDescent="0.3">
      <c r="B116" s="121" t="s">
        <v>72</v>
      </c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3"/>
    </row>
    <row r="117" spans="2:20" x14ac:dyDescent="0.3">
      <c r="B117" s="124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6"/>
    </row>
    <row r="118" spans="2:20" x14ac:dyDescent="0.3">
      <c r="B118" s="127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9"/>
    </row>
    <row r="119" spans="2:20" x14ac:dyDescent="0.3">
      <c r="B119" s="127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9"/>
    </row>
    <row r="120" spans="2:20" x14ac:dyDescent="0.3">
      <c r="B120" s="127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9"/>
    </row>
    <row r="121" spans="2:20" x14ac:dyDescent="0.3">
      <c r="B121" s="127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9"/>
    </row>
    <row r="122" spans="2:20" x14ac:dyDescent="0.3">
      <c r="B122" s="127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9"/>
    </row>
    <row r="123" spans="2:20" x14ac:dyDescent="0.3">
      <c r="B123" s="127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9"/>
    </row>
    <row r="124" spans="2:20" x14ac:dyDescent="0.3">
      <c r="B124" s="127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9"/>
    </row>
    <row r="125" spans="2:20" x14ac:dyDescent="0.3">
      <c r="B125" s="127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9"/>
    </row>
    <row r="126" spans="2:20" x14ac:dyDescent="0.3"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9"/>
    </row>
    <row r="127" spans="2:20" x14ac:dyDescent="0.3"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9"/>
    </row>
    <row r="128" spans="2:20" x14ac:dyDescent="0.3"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9"/>
    </row>
    <row r="129" spans="2:20" x14ac:dyDescent="0.3"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9"/>
    </row>
    <row r="130" spans="2:20" x14ac:dyDescent="0.3"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9"/>
    </row>
    <row r="131" spans="2:20" x14ac:dyDescent="0.3"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9"/>
    </row>
    <row r="132" spans="2:20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x14ac:dyDescent="0.3"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9"/>
    </row>
    <row r="134" spans="2:20" x14ac:dyDescent="0.3">
      <c r="B134" s="13"/>
    </row>
    <row r="135" spans="2:20" ht="18" x14ac:dyDescent="0.35">
      <c r="B135" s="4" t="s">
        <v>74</v>
      </c>
    </row>
    <row r="136" spans="2:20" x14ac:dyDescent="0.3">
      <c r="B136" s="109" t="s">
        <v>0</v>
      </c>
      <c r="C136" s="110"/>
      <c r="D136" s="110"/>
      <c r="E136" s="110"/>
      <c r="F136" s="110"/>
      <c r="G136" s="111"/>
      <c r="H136" s="109" t="s">
        <v>65</v>
      </c>
      <c r="I136" s="110"/>
      <c r="J136" s="110"/>
      <c r="K136" s="110"/>
      <c r="L136" s="111"/>
      <c r="M136" s="97" t="s">
        <v>66</v>
      </c>
      <c r="N136" s="97"/>
      <c r="O136" s="97"/>
      <c r="P136" s="97"/>
      <c r="Q136" s="86" t="s">
        <v>75</v>
      </c>
      <c r="R136" s="87"/>
      <c r="S136" s="87"/>
      <c r="T136" s="88"/>
    </row>
    <row r="137" spans="2:20" x14ac:dyDescent="0.3">
      <c r="B137" s="112" t="s">
        <v>67</v>
      </c>
      <c r="C137" s="113"/>
      <c r="D137" s="113"/>
      <c r="E137" s="113"/>
      <c r="F137" s="113"/>
      <c r="G137" s="114"/>
      <c r="H137" s="115" t="s">
        <v>76</v>
      </c>
      <c r="I137" s="116"/>
      <c r="J137" s="116"/>
      <c r="K137" s="116"/>
      <c r="L137" s="117"/>
      <c r="M137" s="118" t="s">
        <v>53</v>
      </c>
      <c r="N137" s="119"/>
      <c r="O137" s="119"/>
      <c r="P137" s="120"/>
      <c r="Q137" s="118"/>
      <c r="R137" s="119"/>
      <c r="S137" s="119"/>
      <c r="T137" s="120"/>
    </row>
  </sheetData>
  <sheetProtection selectLockedCells="1"/>
  <mergeCells count="239">
    <mergeCell ref="B76:L76"/>
    <mergeCell ref="M76:O76"/>
    <mergeCell ref="P76:T76"/>
    <mergeCell ref="B77:L77"/>
    <mergeCell ref="M77:O77"/>
    <mergeCell ref="P77:T77"/>
    <mergeCell ref="B137:G137"/>
    <mergeCell ref="H137:L137"/>
    <mergeCell ref="M137:P137"/>
    <mergeCell ref="Q137:T137"/>
    <mergeCell ref="B107:L107"/>
    <mergeCell ref="M107:O107"/>
    <mergeCell ref="P107:T107"/>
    <mergeCell ref="B105:L105"/>
    <mergeCell ref="M105:O105"/>
    <mergeCell ref="P105:T105"/>
    <mergeCell ref="B106:L106"/>
    <mergeCell ref="M106:O106"/>
    <mergeCell ref="P106:T106"/>
    <mergeCell ref="B102:T102"/>
    <mergeCell ref="B103:L103"/>
    <mergeCell ref="M103:O103"/>
    <mergeCell ref="P103:T103"/>
    <mergeCell ref="B104:L104"/>
    <mergeCell ref="B74:L74"/>
    <mergeCell ref="M74:O74"/>
    <mergeCell ref="P74:T74"/>
    <mergeCell ref="B75:L75"/>
    <mergeCell ref="M75:O75"/>
    <mergeCell ref="P75:T75"/>
    <mergeCell ref="B116:T116"/>
    <mergeCell ref="B117:T133"/>
    <mergeCell ref="B136:G136"/>
    <mergeCell ref="H136:L136"/>
    <mergeCell ref="M136:P136"/>
    <mergeCell ref="Q136:T136"/>
    <mergeCell ref="B111:H111"/>
    <mergeCell ref="I111:L111"/>
    <mergeCell ref="M111:P111"/>
    <mergeCell ref="Q111:T111"/>
    <mergeCell ref="B112:H112"/>
    <mergeCell ref="I112:L112"/>
    <mergeCell ref="M112:P112"/>
    <mergeCell ref="Q112:T112"/>
    <mergeCell ref="B110:H110"/>
    <mergeCell ref="I110:L110"/>
    <mergeCell ref="M110:P110"/>
    <mergeCell ref="Q110:T110"/>
    <mergeCell ref="M104:O104"/>
    <mergeCell ref="P104:T104"/>
    <mergeCell ref="B98:L98"/>
    <mergeCell ref="M98:O98"/>
    <mergeCell ref="P98:T98"/>
    <mergeCell ref="B99:L99"/>
    <mergeCell ref="M99:O99"/>
    <mergeCell ref="P99:T99"/>
    <mergeCell ref="B96:L96"/>
    <mergeCell ref="M96:O96"/>
    <mergeCell ref="P96:T96"/>
    <mergeCell ref="B97:L97"/>
    <mergeCell ref="M97:O97"/>
    <mergeCell ref="P97:T97"/>
    <mergeCell ref="B95:L95"/>
    <mergeCell ref="M95:O95"/>
    <mergeCell ref="P95:T95"/>
    <mergeCell ref="B94:L94"/>
    <mergeCell ref="M94:O94"/>
    <mergeCell ref="P94:T94"/>
    <mergeCell ref="B90:T91"/>
    <mergeCell ref="B92:L92"/>
    <mergeCell ref="M92:O92"/>
    <mergeCell ref="P92:T92"/>
    <mergeCell ref="B93:L93"/>
    <mergeCell ref="M93:O93"/>
    <mergeCell ref="P93:T93"/>
    <mergeCell ref="B86:L86"/>
    <mergeCell ref="M86:O86"/>
    <mergeCell ref="P86:T86"/>
    <mergeCell ref="B87:L87"/>
    <mergeCell ref="M87:O87"/>
    <mergeCell ref="P87:T87"/>
    <mergeCell ref="B84:L84"/>
    <mergeCell ref="M84:O84"/>
    <mergeCell ref="P84:T84"/>
    <mergeCell ref="B85:L85"/>
    <mergeCell ref="M85:O85"/>
    <mergeCell ref="P85:T85"/>
    <mergeCell ref="B82:L82"/>
    <mergeCell ref="M82:O82"/>
    <mergeCell ref="P82:T82"/>
    <mergeCell ref="B83:L83"/>
    <mergeCell ref="M83:O83"/>
    <mergeCell ref="P83:T83"/>
    <mergeCell ref="B78:L78"/>
    <mergeCell ref="M78:O78"/>
    <mergeCell ref="P78:T78"/>
    <mergeCell ref="B79:L79"/>
    <mergeCell ref="M79:O79"/>
    <mergeCell ref="P79:T79"/>
    <mergeCell ref="B80:L80"/>
    <mergeCell ref="M80:O80"/>
    <mergeCell ref="P80:T80"/>
    <mergeCell ref="B68:T68"/>
    <mergeCell ref="B69:L69"/>
    <mergeCell ref="M69:O69"/>
    <mergeCell ref="P69:T69"/>
    <mergeCell ref="B73:L73"/>
    <mergeCell ref="M73:O73"/>
    <mergeCell ref="P73:T73"/>
    <mergeCell ref="B70:L70"/>
    <mergeCell ref="M70:O70"/>
    <mergeCell ref="P70:T70"/>
    <mergeCell ref="B71:L71"/>
    <mergeCell ref="M71:O71"/>
    <mergeCell ref="P71:T71"/>
    <mergeCell ref="B72:L72"/>
    <mergeCell ref="M72:O72"/>
    <mergeCell ref="P72:T72"/>
    <mergeCell ref="B64:L64"/>
    <mergeCell ref="M64:O64"/>
    <mergeCell ref="P64:T64"/>
    <mergeCell ref="B65:L65"/>
    <mergeCell ref="M65:O65"/>
    <mergeCell ref="P65:T65"/>
    <mergeCell ref="B62:L62"/>
    <mergeCell ref="M62:O62"/>
    <mergeCell ref="P62:T62"/>
    <mergeCell ref="B63:L63"/>
    <mergeCell ref="M63:O63"/>
    <mergeCell ref="P63:T63"/>
    <mergeCell ref="B60:L60"/>
    <mergeCell ref="M60:O60"/>
    <mergeCell ref="P60:T60"/>
    <mergeCell ref="B61:L61"/>
    <mergeCell ref="M61:O61"/>
    <mergeCell ref="P61:T61"/>
    <mergeCell ref="B58:L58"/>
    <mergeCell ref="M58:O58"/>
    <mergeCell ref="P58:T58"/>
    <mergeCell ref="B59:L59"/>
    <mergeCell ref="M59:O59"/>
    <mergeCell ref="P59:T59"/>
    <mergeCell ref="B52:H52"/>
    <mergeCell ref="I52:K52"/>
    <mergeCell ref="L52:M52"/>
    <mergeCell ref="N52:T52"/>
    <mergeCell ref="B57:L57"/>
    <mergeCell ref="M57:O57"/>
    <mergeCell ref="P57:T57"/>
    <mergeCell ref="B50:H50"/>
    <mergeCell ref="I50:K50"/>
    <mergeCell ref="L50:M50"/>
    <mergeCell ref="N50:T50"/>
    <mergeCell ref="B51:H51"/>
    <mergeCell ref="I51:K51"/>
    <mergeCell ref="L51:M51"/>
    <mergeCell ref="N51:T51"/>
    <mergeCell ref="B48:H48"/>
    <mergeCell ref="I48:K48"/>
    <mergeCell ref="L48:M48"/>
    <mergeCell ref="N48:T48"/>
    <mergeCell ref="B49:H49"/>
    <mergeCell ref="I49:K49"/>
    <mergeCell ref="L49:M49"/>
    <mergeCell ref="N49:T49"/>
    <mergeCell ref="B46:H46"/>
    <mergeCell ref="I46:K46"/>
    <mergeCell ref="L46:M46"/>
    <mergeCell ref="N46:T46"/>
    <mergeCell ref="B47:H47"/>
    <mergeCell ref="I47:K47"/>
    <mergeCell ref="L47:M47"/>
    <mergeCell ref="N47:T47"/>
    <mergeCell ref="B42:K42"/>
    <mergeCell ref="L42:T42"/>
    <mergeCell ref="B43:E43"/>
    <mergeCell ref="F43:J43"/>
    <mergeCell ref="B45:H45"/>
    <mergeCell ref="I45:K45"/>
    <mergeCell ref="L45:M45"/>
    <mergeCell ref="N45:T45"/>
    <mergeCell ref="B39:K39"/>
    <mergeCell ref="L39:T39"/>
    <mergeCell ref="B40:K40"/>
    <mergeCell ref="L40:T40"/>
    <mergeCell ref="B41:K41"/>
    <mergeCell ref="L41:T41"/>
    <mergeCell ref="B36:K36"/>
    <mergeCell ref="L36:T36"/>
    <mergeCell ref="B37:K37"/>
    <mergeCell ref="L37:T37"/>
    <mergeCell ref="B38:K38"/>
    <mergeCell ref="L38:T38"/>
    <mergeCell ref="B33:H33"/>
    <mergeCell ref="I33:J33"/>
    <mergeCell ref="L33:T33"/>
    <mergeCell ref="B32:F32"/>
    <mergeCell ref="G32:J32"/>
    <mergeCell ref="L32:P32"/>
    <mergeCell ref="Q32:T32"/>
    <mergeCell ref="D28:J28"/>
    <mergeCell ref="L28:M28"/>
    <mergeCell ref="N28:T28"/>
    <mergeCell ref="D29:J29"/>
    <mergeCell ref="L29:M29"/>
    <mergeCell ref="N29:T29"/>
    <mergeCell ref="D25:J25"/>
    <mergeCell ref="L25:M25"/>
    <mergeCell ref="N25:T25"/>
    <mergeCell ref="B18:J18"/>
    <mergeCell ref="K18:T18"/>
    <mergeCell ref="B19:J19"/>
    <mergeCell ref="K19:T19"/>
    <mergeCell ref="B20:J20"/>
    <mergeCell ref="K20:T20"/>
    <mergeCell ref="B5:I5"/>
    <mergeCell ref="J5:T5"/>
    <mergeCell ref="B6:I6"/>
    <mergeCell ref="J6:T6"/>
    <mergeCell ref="B7:I7"/>
    <mergeCell ref="J7:T7"/>
    <mergeCell ref="B81:L81"/>
    <mergeCell ref="M81:O81"/>
    <mergeCell ref="P81:T81"/>
    <mergeCell ref="B15:J15"/>
    <mergeCell ref="K15:T15"/>
    <mergeCell ref="B16:J16"/>
    <mergeCell ref="K16:T16"/>
    <mergeCell ref="B17:J17"/>
    <mergeCell ref="K17:T17"/>
    <mergeCell ref="B10:F10"/>
    <mergeCell ref="G10:T10"/>
    <mergeCell ref="B11:F11"/>
    <mergeCell ref="G11:T11"/>
    <mergeCell ref="B12:F12"/>
    <mergeCell ref="G12:T12"/>
    <mergeCell ref="D24:J24"/>
    <mergeCell ref="L24:M24"/>
    <mergeCell ref="N24:T24"/>
  </mergeCells>
  <conditionalFormatting sqref="B36:B42">
    <cfRule type="notContainsBlanks" dxfId="92" priority="34">
      <formula>LEN(TRIM(B36))&gt;0</formula>
    </cfRule>
  </conditionalFormatting>
  <conditionalFormatting sqref="D24:J25">
    <cfRule type="containsBlanks" dxfId="91" priority="15">
      <formula>LEN(TRIM(D24))=0</formula>
    </cfRule>
  </conditionalFormatting>
  <conditionalFormatting sqref="D28:J29">
    <cfRule type="containsBlanks" dxfId="90" priority="2">
      <formula>LEN(TRIM(D28))=0</formula>
    </cfRule>
  </conditionalFormatting>
  <conditionalFormatting sqref="G32:J32">
    <cfRule type="containsBlanks" dxfId="89" priority="11">
      <formula>LEN(TRIM(G32))=0</formula>
    </cfRule>
  </conditionalFormatting>
  <conditionalFormatting sqref="G10:T10">
    <cfRule type="containsBlanks" dxfId="88" priority="18">
      <formula>LEN(TRIM(G10))=0</formula>
    </cfRule>
  </conditionalFormatting>
  <conditionalFormatting sqref="G11:T12">
    <cfRule type="containsBlanks" dxfId="87" priority="29">
      <formula>LEN(TRIM(G11))=0</formula>
    </cfRule>
  </conditionalFormatting>
  <conditionalFormatting sqref="I33">
    <cfRule type="containsBlanks" dxfId="86" priority="7">
      <formula>LEN(TRIM(I33))=0</formula>
    </cfRule>
  </conditionalFormatting>
  <conditionalFormatting sqref="J5:T5">
    <cfRule type="containsText" dxfId="85" priority="33" operator="containsText" text="Nome do Cliente">
      <formula>NOT(ISERROR(SEARCH("Nome do Cliente",J5)))</formula>
    </cfRule>
  </conditionalFormatting>
  <conditionalFormatting sqref="J5:T7">
    <cfRule type="containsBlanks" dxfId="84" priority="31">
      <formula>LEN(TRIM(J5))=0</formula>
    </cfRule>
  </conditionalFormatting>
  <conditionalFormatting sqref="J6:T6">
    <cfRule type="containsText" dxfId="83" priority="32" operator="containsText" text="01/01/2023">
      <formula>NOT(ISERROR(SEARCH("01/01/2023",J6)))</formula>
    </cfRule>
  </conditionalFormatting>
  <conditionalFormatting sqref="J7:T7">
    <cfRule type="containsText" dxfId="82" priority="30" operator="containsText" text="Nome do solicitante">
      <formula>NOT(ISERROR(SEARCH("Nome do solicitante",J7)))</formula>
    </cfRule>
  </conditionalFormatting>
  <conditionalFormatting sqref="L35">
    <cfRule type="notContainsBlanks" dxfId="80" priority="36">
      <formula>LEN(TRIM(L35))&gt;0</formula>
    </cfRule>
  </conditionalFormatting>
  <conditionalFormatting sqref="L33:T33">
    <cfRule type="beginsWith" dxfId="79" priority="4" operator="beginsWith" text="ABORTAR">
      <formula>LEFT(L33,LEN("ABORTAR"))="ABORTAR"</formula>
    </cfRule>
    <cfRule type="beginsWith" dxfId="78" priority="5" operator="beginsWith" text="Print">
      <formula>LEFT(L33,LEN("Print"))="Print"</formula>
    </cfRule>
    <cfRule type="beginsWith" dxfId="77" priority="6" operator="beginsWith" text="ALERTA">
      <formula>LEFT(L33,LEN("ALERTA"))="ALERTA"</formula>
    </cfRule>
  </conditionalFormatting>
  <conditionalFormatting sqref="L36:T36">
    <cfRule type="expression" dxfId="76" priority="27">
      <formula>AND($B$36&lt;&gt;"",$L$36="")</formula>
    </cfRule>
    <cfRule type="expression" dxfId="75" priority="28">
      <formula>$B$36&lt;&gt;""</formula>
    </cfRule>
  </conditionalFormatting>
  <conditionalFormatting sqref="L37:T37">
    <cfRule type="expression" dxfId="74" priority="26">
      <formula>AND($B$37&lt;&gt;"",$L$37="")</formula>
    </cfRule>
  </conditionalFormatting>
  <conditionalFormatting sqref="L37:T42">
    <cfRule type="notContainsBlanks" dxfId="73" priority="20">
      <formula>LEN(TRIM(L37))&gt;0</formula>
    </cfRule>
  </conditionalFormatting>
  <conditionalFormatting sqref="L38:T38">
    <cfRule type="expression" dxfId="72" priority="25">
      <formula>AND($B$38&lt;&gt;"",$L$38="")</formula>
    </cfRule>
  </conditionalFormatting>
  <conditionalFormatting sqref="L39:T39">
    <cfRule type="expression" dxfId="71" priority="24">
      <formula>AND($B$39&lt;&gt;"",$L$39="")</formula>
    </cfRule>
  </conditionalFormatting>
  <conditionalFormatting sqref="L40:T40">
    <cfRule type="expression" dxfId="70" priority="23">
      <formula>AND($B$40&lt;&gt;"",$L$40="")</formula>
    </cfRule>
  </conditionalFormatting>
  <conditionalFormatting sqref="L41:T41">
    <cfRule type="expression" dxfId="69" priority="22">
      <formula>AND($B$41&lt;&gt;"",$L$41="")</formula>
    </cfRule>
  </conditionalFormatting>
  <conditionalFormatting sqref="L42:T42">
    <cfRule type="expression" dxfId="68" priority="21">
      <formula>AND($B$42&lt;&gt;"",$L$42="")</formula>
    </cfRule>
  </conditionalFormatting>
  <conditionalFormatting sqref="N24:T25">
    <cfRule type="containsBlanks" dxfId="67" priority="17">
      <formula>LEN(TRIM(N24))=0</formula>
    </cfRule>
  </conditionalFormatting>
  <conditionalFormatting sqref="N28:T29">
    <cfRule type="containsBlanks" dxfId="66" priority="1">
      <formula>LEN(TRIM(N28))=0</formula>
    </cfRule>
  </conditionalFormatting>
  <conditionalFormatting sqref="Q32:T32">
    <cfRule type="containsBlanks" dxfId="65" priority="12">
      <formula>LEN(TRIM(Q32))=0</formula>
    </cfRule>
  </conditionalFormatting>
  <conditionalFormatting sqref="Q137:T137">
    <cfRule type="containsBlanks" dxfId="64" priority="19">
      <formula>LEN(TRIM(Q137))=0</formula>
    </cfRule>
  </conditionalFormatting>
  <dataValidations count="9">
    <dataValidation type="list" allowBlank="1" showInputMessage="1" showErrorMessage="1" sqref="S34 I33:I34 M70:O87" xr:uid="{237580E9-F72D-4B6A-8CD7-C1B2B0DD5FB6}">
      <formula1>"SIM,NÃO"</formula1>
    </dataValidation>
    <dataValidation type="list" allowBlank="1" showInputMessage="1" showErrorMessage="1" sqref="G11" xr:uid="{0BF2FE91-FEF1-47BC-99FA-4BCFBA27605F}">
      <formula1>"PROGRAMADA,EMERGENCIAL"</formula1>
    </dataValidation>
    <dataValidation type="list" allowBlank="1" showInputMessage="1" showErrorMessage="1" sqref="I46:K52" xr:uid="{3E2BECAB-208D-4669-A418-E8BB1BE16F1C}">
      <formula1>"ALTA,MÉDIA,BAIXA"</formula1>
    </dataValidation>
    <dataValidation type="list" allowBlank="1" showInputMessage="1" showErrorMessage="1" sqref="L46:M52" xr:uid="{18A89356-B5F6-416B-BB7C-09632A0F6949}">
      <formula1>"ALTO,MÉDIO,BAIXO"</formula1>
    </dataValidation>
    <dataValidation type="list" allowBlank="1" showInputMessage="1" showErrorMessage="1" sqref="M58:O66" xr:uid="{8558233A-4B9E-4DE6-8BE5-409AAE17B21D}">
      <formula1>"NECESSÁRIO,OBRIGATÓRIO"</formula1>
    </dataValidation>
    <dataValidation type="list" allowBlank="1" showInputMessage="1" showErrorMessage="1" sqref="Q137:T137" xr:uid="{7323F779-9C22-48CE-B3ED-9E469E1139A3}">
      <formula1>"APROVADO,REPROVADO"</formula1>
    </dataValidation>
    <dataValidation type="list" allowBlank="1" showInputMessage="1" showErrorMessage="1" sqref="G32:J32" xr:uid="{EE379260-D1AD-44A5-8287-C5E45625D208}">
      <formula1>"PRODUÇÃO,HOMOLOGAÇÃO,TESTES,TREINAMENTO,DESENVOLVIMENTO"</formula1>
    </dataValidation>
    <dataValidation type="list" allowBlank="1" showInputMessage="1" showErrorMessage="1" sqref="Q32:T32" xr:uid="{A0A52963-E325-4331-A2AA-041F57084B07}">
      <formula1>"WINDOWS,LINUX,WINDOWS &amp; LINUX"</formula1>
    </dataValidation>
    <dataValidation type="list" allowBlank="1" showInputMessage="1" showErrorMessage="1" sqref="B137:G137" xr:uid="{A7183A71-1E03-4355-A3F2-1CD620A03C8A}">
      <formula1>"Wilson Kempim Jr."</formula1>
    </dataValidation>
  </dataValidations>
  <pageMargins left="0.25" right="0.25" top="0.75" bottom="0.75" header="0.3" footer="0.3"/>
  <pageSetup paperSize="5" orientation="portrait" r:id="rId1"/>
  <headerFooter differentFirst="1">
    <oddHeader>&amp;L&amp;G</oddHeader>
    <oddFooter>&amp;RPágina &amp;P de &amp;N</oddFooter>
    <firstHeader>&amp;L&amp;G</firstHeader>
    <firstFooter>&amp;RPágina &amp;P de &amp;N</first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A7AE8365-3BDE-43A4-BF83-32778C577433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5" operator="containsText" id="{6DD60ADB-910F-4482-A792-C9D9290595F1}">
            <xm:f>NOT(ISERROR(SEARCH("Risco de perda de dados sem o flashback!",L35)))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7174C0-B498-467F-9598-8B884774EA7C}">
          <x14:formula1>
            <xm:f>#REF!</xm:f>
          </x14:formula1>
          <xm:sqref>D28:J28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7235-ED5F-4B00-AE64-63D5DF334A6B}">
  <dimension ref="B4:AB157"/>
  <sheetViews>
    <sheetView showGridLines="0" topLeftCell="A45" zoomScale="110" zoomScaleNormal="110" workbookViewId="0">
      <selection activeCell="P78" activeCellId="1" sqref="P92:T92 P78:T78"/>
    </sheetView>
  </sheetViews>
  <sheetFormatPr defaultColWidth="8.88671875" defaultRowHeight="14.4" x14ac:dyDescent="0.3"/>
  <cols>
    <col min="1" max="1" width="1.6640625" customWidth="1"/>
    <col min="2" max="11" width="5.109375" customWidth="1"/>
    <col min="12" max="12" width="6.6640625" customWidth="1"/>
    <col min="13" max="20" width="5.109375" customWidth="1"/>
    <col min="21" max="22" width="1.6640625" customWidth="1"/>
    <col min="27" max="27" width="12.109375" bestFit="1" customWidth="1"/>
    <col min="28" max="28" width="118.44140625" customWidth="1"/>
  </cols>
  <sheetData>
    <row r="4" spans="2:28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  <c r="AA4" s="174"/>
      <c r="AB4" s="174"/>
    </row>
    <row r="5" spans="2:28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8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8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8" x14ac:dyDescent="0.3">
      <c r="B8" s="6"/>
      <c r="C8" s="6"/>
      <c r="D8" s="6"/>
      <c r="E8" s="6"/>
      <c r="F8" s="6"/>
      <c r="G8" s="6"/>
      <c r="H8" s="6"/>
      <c r="I8" s="6"/>
      <c r="J8" s="6"/>
    </row>
    <row r="9" spans="2:28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8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8" x14ac:dyDescent="0.3">
      <c r="B11" s="27" t="s">
        <v>12</v>
      </c>
      <c r="C11" s="27"/>
      <c r="D11" s="27"/>
      <c r="E11" s="27"/>
      <c r="F11" s="27"/>
      <c r="G11" s="42" t="s">
        <v>100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8" x14ac:dyDescent="0.3">
      <c r="B12" s="27" t="s">
        <v>13</v>
      </c>
      <c r="C12" s="27"/>
      <c r="D12" s="27"/>
      <c r="E12" s="27"/>
      <c r="F12" s="27"/>
      <c r="G12" s="42" t="s">
        <v>283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8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8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8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8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4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x14ac:dyDescent="0.3">
      <c r="B33" s="48" t="s">
        <v>29</v>
      </c>
      <c r="C33" s="49"/>
      <c r="D33" s="49"/>
      <c r="E33" s="49"/>
      <c r="F33" s="49"/>
      <c r="G33" s="43" t="s">
        <v>30</v>
      </c>
      <c r="H33" s="43"/>
      <c r="I33" s="43"/>
      <c r="J33" s="43"/>
      <c r="L33" s="52" t="str" cm="1">
        <f t="array" ref="L33">_xlfn.IFS(
AND(G32&lt;&gt;"PRODUÇÃO",G33="NÃO"),"ALERTA: Risco de perda de dados sem o backup!",
AND(G32="PRODUÇÃO",G33="NÃO"),"ABORTAR GMUD!!!",
G33="SIM","Print de evidência do backup na página de anexos.",
G33="",""
)</f>
        <v>Print de evidência do backup na página de anexos.</v>
      </c>
      <c r="M33" s="52"/>
      <c r="N33" s="52"/>
      <c r="O33" s="52"/>
      <c r="P33" s="52"/>
      <c r="Q33" s="52"/>
      <c r="R33" s="52"/>
      <c r="S33" s="52"/>
      <c r="T33" s="52"/>
    </row>
    <row r="34" spans="2:20" x14ac:dyDescent="0.3">
      <c r="B34" s="22" t="s">
        <v>31</v>
      </c>
      <c r="C34" s="23"/>
      <c r="D34" s="23"/>
      <c r="E34" s="23"/>
      <c r="F34" s="23"/>
      <c r="G34" s="22"/>
      <c r="H34" s="23"/>
      <c r="I34" s="23"/>
      <c r="J34" s="23"/>
    </row>
    <row r="35" spans="2:20" x14ac:dyDescent="0.3">
      <c r="B35" s="59" t="s">
        <v>32</v>
      </c>
      <c r="C35" s="60"/>
      <c r="D35" s="60"/>
      <c r="E35" s="60"/>
      <c r="F35" s="60"/>
      <c r="G35" s="60"/>
      <c r="H35" s="60"/>
      <c r="I35" s="43" t="s">
        <v>30</v>
      </c>
      <c r="J35" s="43"/>
      <c r="L35" s="52" t="str" cm="1">
        <f t="array" ref="L35">_xlfn.IFS(
I35="NÃO","ALERTA: necessário ter acesso à console Appmgr!",
I35="SIM","",
I35="",""
)</f>
        <v/>
      </c>
      <c r="M35" s="52"/>
      <c r="N35" s="52"/>
      <c r="O35" s="52"/>
      <c r="P35" s="52"/>
      <c r="Q35" s="52"/>
      <c r="R35" s="52"/>
      <c r="S35" s="52"/>
      <c r="T35" s="52"/>
    </row>
    <row r="36" spans="2:20" x14ac:dyDescent="0.3">
      <c r="B36" s="61" t="s">
        <v>34</v>
      </c>
      <c r="C36" s="62"/>
      <c r="D36" s="62"/>
      <c r="E36" s="62"/>
      <c r="F36" s="62"/>
      <c r="G36" s="62"/>
      <c r="H36" s="62"/>
      <c r="I36" s="43" t="s">
        <v>30</v>
      </c>
      <c r="J36" s="43"/>
      <c r="L36" s="52" t="str" cm="1">
        <f t="array" ref="L36">_xlfn.IFS(
I36="NÃO","",
I36="SIM","ALERTA: Evidenciar configurações dos hosts",
I36="",""
)</f>
        <v>ALERTA: Evidenciar configurações dos hosts</v>
      </c>
      <c r="M36" s="52"/>
      <c r="N36" s="52"/>
      <c r="O36" s="52"/>
      <c r="P36" s="52"/>
      <c r="Q36" s="52"/>
      <c r="R36" s="52"/>
      <c r="S36" s="52"/>
      <c r="T36" s="52"/>
    </row>
    <row r="37" spans="2:20" ht="15" customHeight="1" x14ac:dyDescent="0.3"/>
    <row r="39" spans="2:20" ht="18" x14ac:dyDescent="0.35">
      <c r="B39" s="1" t="s">
        <v>35</v>
      </c>
      <c r="C39" s="13"/>
      <c r="D39" s="13"/>
      <c r="E39" s="13"/>
      <c r="F39" s="13"/>
      <c r="L39" s="14"/>
      <c r="M39" s="14"/>
      <c r="N39" s="14"/>
      <c r="O39" s="14"/>
      <c r="P39" s="14"/>
      <c r="Q39" s="14"/>
      <c r="R39" s="14"/>
      <c r="S39" s="14"/>
      <c r="T39" s="14"/>
    </row>
    <row r="40" spans="2:20" x14ac:dyDescent="0.3">
      <c r="B40" s="54" t="str">
        <f>IF(
OR(L33="Print de evidência do backup na página de anexos.",L33="ALERTA: Risco de perda de dados sem o backup!"),"Data de ínicio:",""
)</f>
        <v>Data de ínicio:</v>
      </c>
      <c r="C40" s="54"/>
      <c r="D40" s="54"/>
      <c r="E40" s="54"/>
      <c r="F40" s="54"/>
      <c r="G40" s="54"/>
      <c r="H40" s="54"/>
      <c r="I40" s="54"/>
      <c r="J40" s="54"/>
      <c r="K40" s="54"/>
      <c r="L40" s="55" t="s">
        <v>36</v>
      </c>
      <c r="M40" s="55"/>
      <c r="N40" s="55"/>
      <c r="O40" s="55"/>
      <c r="P40" s="55"/>
      <c r="Q40" s="55"/>
      <c r="R40" s="55"/>
      <c r="S40" s="55"/>
      <c r="T40" s="55"/>
    </row>
    <row r="41" spans="2:20" x14ac:dyDescent="0.3">
      <c r="B41" s="54" t="str">
        <f>IF(
OR(L33="Print de evidência do backup na página de anexos.",L33="ALERTA: Risco de perda de dados sem o backup!"),"Hora de ínicio:",""
)</f>
        <v>Hora de ínicio:</v>
      </c>
      <c r="C41" s="54"/>
      <c r="D41" s="54"/>
      <c r="E41" s="54"/>
      <c r="F41" s="54"/>
      <c r="G41" s="54"/>
      <c r="H41" s="54"/>
      <c r="I41" s="54"/>
      <c r="J41" s="54"/>
      <c r="K41" s="54"/>
      <c r="L41" s="56">
        <v>0.5625</v>
      </c>
      <c r="M41" s="56"/>
      <c r="N41" s="56"/>
      <c r="O41" s="56"/>
      <c r="P41" s="56"/>
      <c r="Q41" s="56"/>
      <c r="R41" s="56"/>
      <c r="S41" s="56"/>
      <c r="T41" s="56"/>
    </row>
    <row r="42" spans="2:20" x14ac:dyDescent="0.3">
      <c r="B42" s="54" t="str">
        <f>IF(L41&lt;&gt;"","Tempo total de execução:","")</f>
        <v>Tempo total de execução:</v>
      </c>
      <c r="C42" s="54"/>
      <c r="D42" s="54"/>
      <c r="E42" s="54"/>
      <c r="F42" s="54"/>
      <c r="G42" s="54"/>
      <c r="H42" s="54"/>
      <c r="I42" s="54"/>
      <c r="J42" s="54"/>
      <c r="K42" s="54"/>
      <c r="L42" s="57">
        <v>4.1666666666666664E-2</v>
      </c>
      <c r="M42" s="58"/>
      <c r="N42" s="58"/>
      <c r="O42" s="58"/>
      <c r="P42" s="58"/>
      <c r="Q42" s="58"/>
      <c r="R42" s="58"/>
      <c r="S42" s="58"/>
      <c r="T42" s="58"/>
    </row>
    <row r="43" spans="2:20" x14ac:dyDescent="0.3">
      <c r="B43" s="54" t="str">
        <f>IF(L42&lt;&gt;"","Tempo total de paralização:","")</f>
        <v>Tempo total de paralização:</v>
      </c>
      <c r="C43" s="54"/>
      <c r="D43" s="54"/>
      <c r="E43" s="54"/>
      <c r="F43" s="54"/>
      <c r="G43" s="54"/>
      <c r="H43" s="54"/>
      <c r="I43" s="54"/>
      <c r="J43" s="54"/>
      <c r="K43" s="54"/>
      <c r="L43" s="63">
        <v>4.1666666666666664E-2</v>
      </c>
      <c r="M43" s="64"/>
      <c r="N43" s="64"/>
      <c r="O43" s="64"/>
      <c r="P43" s="64"/>
      <c r="Q43" s="64"/>
      <c r="R43" s="64"/>
      <c r="S43" s="64"/>
      <c r="T43" s="65"/>
    </row>
    <row r="44" spans="2:20" x14ac:dyDescent="0.3">
      <c r="B44" s="54" t="str">
        <f>IF(L43&lt;&gt;"","Tempo total para testes","")</f>
        <v>Tempo total para testes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2.0833333333333332E-2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54" t="str">
        <f>IF(L44&lt;&gt;"","Tempo total para tentativa de correções:","")</f>
        <v>Tempo total para tentativa de correções: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2.0833333333333332E-2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plano de volta:","")</f>
        <v>Tempo total para plano de volta: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4.1666666666666664E-2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66"/>
      <c r="C47" s="67"/>
      <c r="D47" s="67"/>
      <c r="E47" s="68"/>
      <c r="F47" s="69"/>
      <c r="G47" s="70"/>
      <c r="H47" s="70"/>
      <c r="I47" s="70"/>
      <c r="J47" s="71"/>
    </row>
    <row r="48" spans="2:20" ht="18" x14ac:dyDescent="0.35">
      <c r="B48" s="4" t="s">
        <v>37</v>
      </c>
      <c r="C48" s="7"/>
      <c r="D48" s="7"/>
      <c r="E48" s="8"/>
      <c r="F48" s="9"/>
      <c r="G48" s="10"/>
      <c r="H48" s="10"/>
      <c r="I48" s="10"/>
      <c r="J48" s="11"/>
    </row>
    <row r="49" spans="2:20" s="19" customFormat="1" x14ac:dyDescent="0.3">
      <c r="B49" s="72" t="s">
        <v>38</v>
      </c>
      <c r="C49" s="72"/>
      <c r="D49" s="72"/>
      <c r="E49" s="72"/>
      <c r="F49" s="72"/>
      <c r="G49" s="72"/>
      <c r="H49" s="72"/>
      <c r="I49" s="73" t="s">
        <v>39</v>
      </c>
      <c r="J49" s="73"/>
      <c r="K49" s="73"/>
      <c r="L49" s="73" t="s">
        <v>40</v>
      </c>
      <c r="M49" s="73"/>
      <c r="N49" s="72" t="s">
        <v>41</v>
      </c>
      <c r="O49" s="72"/>
      <c r="P49" s="72"/>
      <c r="Q49" s="72"/>
      <c r="R49" s="72"/>
      <c r="S49" s="72"/>
      <c r="T49" s="72"/>
    </row>
    <row r="50" spans="2:20" s="19" customFormat="1" ht="15" customHeight="1" x14ac:dyDescent="0.3">
      <c r="B50" s="74" t="s">
        <v>42</v>
      </c>
      <c r="C50" s="74"/>
      <c r="D50" s="74"/>
      <c r="E50" s="74"/>
      <c r="F50" s="74"/>
      <c r="G50" s="74"/>
      <c r="H50" s="74"/>
      <c r="I50" s="75" t="s">
        <v>43</v>
      </c>
      <c r="J50" s="75"/>
      <c r="K50" s="75"/>
      <c r="L50" s="75" t="s">
        <v>44</v>
      </c>
      <c r="M50" s="75"/>
      <c r="N50" s="74" t="s">
        <v>45</v>
      </c>
      <c r="O50" s="74"/>
      <c r="P50" s="74"/>
      <c r="Q50" s="74"/>
      <c r="R50" s="74"/>
      <c r="S50" s="74"/>
      <c r="T50" s="74"/>
    </row>
    <row r="51" spans="2:20" s="19" customFormat="1" x14ac:dyDescent="0.3">
      <c r="B51" s="74" t="s">
        <v>284</v>
      </c>
      <c r="C51" s="74"/>
      <c r="D51" s="74"/>
      <c r="E51" s="74"/>
      <c r="F51" s="74"/>
      <c r="G51" s="74"/>
      <c r="H51" s="74"/>
      <c r="I51" s="75" t="s">
        <v>43</v>
      </c>
      <c r="J51" s="75"/>
      <c r="K51" s="75"/>
      <c r="L51" s="75" t="s">
        <v>285</v>
      </c>
      <c r="M51" s="75"/>
      <c r="N51" s="74" t="s">
        <v>286</v>
      </c>
      <c r="O51" s="74"/>
      <c r="P51" s="74"/>
      <c r="Q51" s="74"/>
      <c r="R51" s="74"/>
      <c r="S51" s="74"/>
      <c r="T51" s="74"/>
    </row>
    <row r="52" spans="2:20" s="19" customFormat="1" x14ac:dyDescent="0.3">
      <c r="B52" s="74" t="s">
        <v>287</v>
      </c>
      <c r="C52" s="74"/>
      <c r="D52" s="74"/>
      <c r="E52" s="74"/>
      <c r="F52" s="74"/>
      <c r="G52" s="74"/>
      <c r="H52" s="74"/>
      <c r="I52" s="75" t="s">
        <v>43</v>
      </c>
      <c r="J52" s="75"/>
      <c r="K52" s="75"/>
      <c r="L52" s="75" t="s">
        <v>44</v>
      </c>
      <c r="M52" s="75"/>
      <c r="N52" s="74" t="s">
        <v>286</v>
      </c>
      <c r="O52" s="74"/>
      <c r="P52" s="74"/>
      <c r="Q52" s="74"/>
      <c r="R52" s="74"/>
      <c r="S52" s="74"/>
      <c r="T52" s="74"/>
    </row>
    <row r="53" spans="2:20" s="19" customFormat="1" x14ac:dyDescent="0.3">
      <c r="B53" s="74" t="s">
        <v>288</v>
      </c>
      <c r="C53" s="74"/>
      <c r="D53" s="74"/>
      <c r="E53" s="74"/>
      <c r="F53" s="74"/>
      <c r="G53" s="74"/>
      <c r="H53" s="74"/>
      <c r="I53" s="75" t="s">
        <v>43</v>
      </c>
      <c r="J53" s="75"/>
      <c r="K53" s="75"/>
      <c r="L53" s="75" t="s">
        <v>285</v>
      </c>
      <c r="M53" s="75"/>
      <c r="N53" s="74" t="s">
        <v>286</v>
      </c>
      <c r="O53" s="74"/>
      <c r="P53" s="74"/>
      <c r="Q53" s="74"/>
      <c r="R53" s="74"/>
      <c r="S53" s="74"/>
      <c r="T53" s="74"/>
    </row>
    <row r="54" spans="2:20" s="19" customFormat="1" x14ac:dyDescent="0.3">
      <c r="B54" s="74" t="s">
        <v>289</v>
      </c>
      <c r="C54" s="74"/>
      <c r="D54" s="74"/>
      <c r="E54" s="74"/>
      <c r="F54" s="74"/>
      <c r="G54" s="74"/>
      <c r="H54" s="74"/>
      <c r="I54" s="75" t="s">
        <v>43</v>
      </c>
      <c r="J54" s="75"/>
      <c r="K54" s="75"/>
      <c r="L54" s="75" t="s">
        <v>44</v>
      </c>
      <c r="M54" s="75"/>
      <c r="N54" s="74" t="s">
        <v>286</v>
      </c>
      <c r="O54" s="74"/>
      <c r="P54" s="74"/>
      <c r="Q54" s="74"/>
      <c r="R54" s="74"/>
      <c r="S54" s="74"/>
      <c r="T54" s="74"/>
    </row>
    <row r="55" spans="2:20" s="19" customFormat="1" x14ac:dyDescent="0.3">
      <c r="B55" s="74"/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4"/>
      <c r="O55" s="74"/>
      <c r="P55" s="74"/>
      <c r="Q55" s="74"/>
      <c r="R55" s="74"/>
      <c r="S55" s="74"/>
      <c r="T55" s="74"/>
    </row>
    <row r="56" spans="2:20" s="19" customFormat="1" x14ac:dyDescent="0.3">
      <c r="B56" s="74"/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4"/>
      <c r="O56" s="74"/>
      <c r="P56" s="74"/>
      <c r="Q56" s="74"/>
      <c r="R56" s="74"/>
      <c r="S56" s="74"/>
      <c r="T56" s="74"/>
    </row>
    <row r="60" spans="2:20" ht="18" x14ac:dyDescent="0.35">
      <c r="B60" s="4" t="s">
        <v>46</v>
      </c>
    </row>
    <row r="61" spans="2:20" s="19" customFormat="1" x14ac:dyDescent="0.3">
      <c r="B61" s="72" t="s">
        <v>47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3" t="s">
        <v>48</v>
      </c>
      <c r="N61" s="73"/>
      <c r="O61" s="73"/>
      <c r="P61" s="73" t="s">
        <v>49</v>
      </c>
      <c r="Q61" s="73"/>
      <c r="R61" s="73"/>
      <c r="S61" s="73"/>
      <c r="T61" s="73"/>
    </row>
    <row r="62" spans="2:20" s="19" customFormat="1" ht="15" customHeight="1" x14ac:dyDescent="0.3">
      <c r="B62" s="76" t="s">
        <v>290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7" t="s">
        <v>51</v>
      </c>
      <c r="N62" s="77"/>
      <c r="O62" s="77"/>
      <c r="P62" s="77" t="str">
        <f t="shared" ref="P62:P63" si="0">$D$28</f>
        <v>Murilo Moraes</v>
      </c>
      <c r="Q62" s="77"/>
      <c r="R62" s="77"/>
      <c r="S62" s="77"/>
      <c r="T62" s="77"/>
    </row>
    <row r="63" spans="2:20" s="19" customFormat="1" ht="15" customHeight="1" x14ac:dyDescent="0.3">
      <c r="B63" s="76" t="s">
        <v>291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7" t="s">
        <v>51</v>
      </c>
      <c r="N63" s="77"/>
      <c r="O63" s="77"/>
      <c r="P63" s="77" t="str">
        <f t="shared" si="0"/>
        <v>Murilo Moraes</v>
      </c>
      <c r="Q63" s="77"/>
      <c r="R63" s="77"/>
      <c r="S63" s="77"/>
      <c r="T63" s="77"/>
    </row>
    <row r="64" spans="2:20" s="19" customFormat="1" x14ac:dyDescent="0.3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7"/>
      <c r="N64" s="77"/>
      <c r="O64" s="77"/>
      <c r="P64" s="77"/>
      <c r="Q64" s="77"/>
      <c r="R64" s="77"/>
      <c r="S64" s="77"/>
      <c r="T64" s="77"/>
    </row>
    <row r="65" spans="2:20" s="19" customFormat="1" x14ac:dyDescent="0.3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7"/>
      <c r="N65" s="77"/>
      <c r="O65" s="77"/>
      <c r="P65" s="77"/>
      <c r="Q65" s="77"/>
      <c r="R65" s="77"/>
      <c r="S65" s="77"/>
      <c r="T65" s="77"/>
    </row>
    <row r="66" spans="2:20" x14ac:dyDescent="0.3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7"/>
      <c r="N66" s="77"/>
      <c r="O66" s="77"/>
      <c r="P66" s="78"/>
      <c r="Q66" s="78"/>
      <c r="R66" s="78"/>
      <c r="S66" s="78"/>
      <c r="T66" s="78"/>
    </row>
    <row r="67" spans="2:20" x14ac:dyDescent="0.3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7"/>
      <c r="N67" s="77"/>
      <c r="O67" s="77"/>
      <c r="P67" s="78"/>
      <c r="Q67" s="78"/>
      <c r="R67" s="78"/>
      <c r="S67" s="78"/>
      <c r="T67" s="78"/>
    </row>
    <row r="68" spans="2:20" x14ac:dyDescent="0.3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7"/>
      <c r="N68" s="77"/>
      <c r="O68" s="77"/>
      <c r="P68" s="78"/>
      <c r="Q68" s="78"/>
      <c r="R68" s="78"/>
      <c r="S68" s="78"/>
      <c r="T68" s="78"/>
    </row>
    <row r="69" spans="2:20" x14ac:dyDescent="0.3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7"/>
      <c r="N69" s="77"/>
      <c r="O69" s="77"/>
      <c r="P69" s="78"/>
      <c r="Q69" s="78"/>
      <c r="R69" s="78"/>
      <c r="S69" s="78"/>
      <c r="T69" s="78"/>
    </row>
    <row r="71" spans="2:20" ht="18" x14ac:dyDescent="0.35">
      <c r="B71" s="4" t="s">
        <v>54</v>
      </c>
    </row>
    <row r="72" spans="2:20" ht="15" customHeight="1" x14ac:dyDescent="0.3">
      <c r="B72" s="83" t="s">
        <v>55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2:20" x14ac:dyDescent="0.3">
      <c r="B73" s="84" t="s">
        <v>47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5" t="s">
        <v>56</v>
      </c>
      <c r="N73" s="85"/>
      <c r="O73" s="85"/>
      <c r="P73" s="86" t="s">
        <v>49</v>
      </c>
      <c r="Q73" s="87"/>
      <c r="R73" s="87"/>
      <c r="S73" s="87"/>
      <c r="T73" s="88"/>
    </row>
    <row r="74" spans="2:20" s="19" customFormat="1" ht="15" customHeight="1" x14ac:dyDescent="0.3">
      <c r="B74" s="89" t="s">
        <v>292</v>
      </c>
      <c r="C74" s="90"/>
      <c r="D74" s="90"/>
      <c r="E74" s="90"/>
      <c r="F74" s="90"/>
      <c r="G74" s="90"/>
      <c r="H74" s="90"/>
      <c r="I74" s="90"/>
      <c r="J74" s="90"/>
      <c r="K74" s="90"/>
      <c r="L74" s="91"/>
      <c r="M74" s="79" t="s">
        <v>33</v>
      </c>
      <c r="N74" s="79"/>
      <c r="O74" s="79"/>
      <c r="P74" s="92" t="str">
        <f t="shared" ref="P74:P77" si="1">$D$28</f>
        <v>Murilo Moraes</v>
      </c>
      <c r="Q74" s="93"/>
      <c r="R74" s="93"/>
      <c r="S74" s="93"/>
      <c r="T74" s="94"/>
    </row>
    <row r="75" spans="2:20" s="15" customFormat="1" x14ac:dyDescent="0.3">
      <c r="B75" s="74" t="s">
        <v>293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9" t="s">
        <v>33</v>
      </c>
      <c r="N75" s="79"/>
      <c r="O75" s="79"/>
      <c r="P75" s="92" t="str">
        <f t="shared" si="1"/>
        <v>Murilo Moraes</v>
      </c>
      <c r="Q75" s="93"/>
      <c r="R75" s="93"/>
      <c r="S75" s="93"/>
      <c r="T75" s="94"/>
    </row>
    <row r="76" spans="2:20" s="15" customFormat="1" x14ac:dyDescent="0.3">
      <c r="B76" s="74" t="s">
        <v>294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9" t="s">
        <v>33</v>
      </c>
      <c r="N76" s="79"/>
      <c r="O76" s="79"/>
      <c r="P76" s="92" t="str">
        <f t="shared" si="1"/>
        <v>Murilo Moraes</v>
      </c>
      <c r="Q76" s="93"/>
      <c r="R76" s="93"/>
      <c r="S76" s="93"/>
      <c r="T76" s="94"/>
    </row>
    <row r="77" spans="2:20" s="15" customFormat="1" x14ac:dyDescent="0.3">
      <c r="B77" s="74" t="s">
        <v>295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9" t="s">
        <v>30</v>
      </c>
      <c r="N77" s="79"/>
      <c r="O77" s="79"/>
      <c r="P77" s="92" t="str">
        <f t="shared" si="1"/>
        <v>Murilo Moraes</v>
      </c>
      <c r="Q77" s="93"/>
      <c r="R77" s="93"/>
      <c r="S77" s="93"/>
      <c r="T77" s="94"/>
    </row>
    <row r="78" spans="2:20" s="19" customFormat="1" x14ac:dyDescent="0.3">
      <c r="B78" s="76" t="s">
        <v>296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9" t="s">
        <v>33</v>
      </c>
      <c r="N78" s="79"/>
      <c r="O78" s="79"/>
      <c r="P78" s="92">
        <f t="shared" ref="P78" si="2">$D$24</f>
        <v>0</v>
      </c>
      <c r="Q78" s="93"/>
      <c r="R78" s="93"/>
      <c r="S78" s="93"/>
      <c r="T78" s="94"/>
    </row>
    <row r="79" spans="2:20" s="19" customFormat="1" x14ac:dyDescent="0.3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/>
      <c r="N79" s="79"/>
      <c r="O79" s="79"/>
      <c r="P79" s="92"/>
      <c r="Q79" s="93"/>
      <c r="R79" s="93"/>
      <c r="S79" s="93"/>
      <c r="T79" s="94"/>
    </row>
    <row r="80" spans="2:20" s="19" customFormat="1" x14ac:dyDescent="0.3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9"/>
      <c r="N80" s="79"/>
      <c r="O80" s="79"/>
      <c r="P80" s="92"/>
      <c r="Q80" s="93"/>
      <c r="R80" s="93"/>
      <c r="S80" s="93"/>
      <c r="T80" s="94"/>
    </row>
    <row r="81" spans="2:20" s="19" customFormat="1" x14ac:dyDescent="0.3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9"/>
      <c r="N81" s="79"/>
      <c r="O81" s="79"/>
      <c r="P81" s="92"/>
      <c r="Q81" s="93"/>
      <c r="R81" s="93"/>
      <c r="S81" s="93"/>
      <c r="T81" s="94"/>
    </row>
    <row r="82" spans="2:20" s="19" customFormat="1" x14ac:dyDescent="0.3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/>
      <c r="N82" s="79"/>
      <c r="O82" s="79"/>
      <c r="P82" s="92"/>
      <c r="Q82" s="93"/>
      <c r="R82" s="93"/>
      <c r="S82" s="93"/>
      <c r="T82" s="94"/>
    </row>
    <row r="83" spans="2:20" s="19" customFormat="1" x14ac:dyDescent="0.3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9"/>
      <c r="N83" s="79"/>
      <c r="O83" s="79"/>
      <c r="P83" s="92"/>
      <c r="Q83" s="93"/>
      <c r="R83" s="93"/>
      <c r="S83" s="93"/>
      <c r="T83" s="94"/>
    </row>
    <row r="84" spans="2:20" s="19" customFormat="1" x14ac:dyDescent="0.3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/>
      <c r="N84" s="79"/>
      <c r="O84" s="79"/>
      <c r="P84" s="92"/>
      <c r="Q84" s="93"/>
      <c r="R84" s="93"/>
      <c r="S84" s="93"/>
      <c r="T84" s="94"/>
    </row>
    <row r="86" spans="2:20" ht="18" x14ac:dyDescent="0.35">
      <c r="B86" s="4" t="s">
        <v>57</v>
      </c>
    </row>
    <row r="87" spans="2:20" x14ac:dyDescent="0.3">
      <c r="B87" s="83" t="s">
        <v>58</v>
      </c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2:20" x14ac:dyDescent="0.3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</row>
    <row r="89" spans="2:20" x14ac:dyDescent="0.3">
      <c r="B89" s="84" t="s">
        <v>47</v>
      </c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97" t="s">
        <v>59</v>
      </c>
      <c r="N89" s="97"/>
      <c r="O89" s="97"/>
      <c r="P89" s="86" t="s">
        <v>49</v>
      </c>
      <c r="Q89" s="87"/>
      <c r="R89" s="87"/>
      <c r="S89" s="87"/>
      <c r="T89" s="88"/>
    </row>
    <row r="90" spans="2:20" s="12" customFormat="1" ht="15" customHeight="1" x14ac:dyDescent="0.3">
      <c r="B90" s="74" t="s">
        <v>297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99">
        <v>6.9444444444444441E-3</v>
      </c>
      <c r="N90" s="77"/>
      <c r="O90" s="77"/>
      <c r="P90" s="92" t="str">
        <f t="shared" ref="P90:P91" si="3">$D$28</f>
        <v>Murilo Moraes</v>
      </c>
      <c r="Q90" s="93"/>
      <c r="R90" s="93"/>
      <c r="S90" s="93"/>
      <c r="T90" s="94"/>
    </row>
    <row r="91" spans="2:20" s="12" customFormat="1" ht="13.8" x14ac:dyDescent="0.3">
      <c r="B91" s="100" t="s">
        <v>298</v>
      </c>
      <c r="C91" s="101"/>
      <c r="D91" s="101"/>
      <c r="E91" s="101"/>
      <c r="F91" s="101"/>
      <c r="G91" s="101"/>
      <c r="H91" s="101"/>
      <c r="I91" s="101"/>
      <c r="J91" s="101"/>
      <c r="K91" s="101"/>
      <c r="L91" s="102"/>
      <c r="M91" s="99">
        <v>1.3888888888888888E-2</v>
      </c>
      <c r="N91" s="77"/>
      <c r="O91" s="77"/>
      <c r="P91" s="92" t="str">
        <f t="shared" si="3"/>
        <v>Murilo Moraes</v>
      </c>
      <c r="Q91" s="93"/>
      <c r="R91" s="93"/>
      <c r="S91" s="93"/>
      <c r="T91" s="94"/>
    </row>
    <row r="92" spans="2:20" s="12" customFormat="1" ht="13.8" x14ac:dyDescent="0.3">
      <c r="B92" s="74" t="s">
        <v>299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99">
        <v>2.0833333333333332E-2</v>
      </c>
      <c r="N92" s="77"/>
      <c r="O92" s="77"/>
      <c r="P92" s="92">
        <f t="shared" ref="P92" si="4">$D$24</f>
        <v>0</v>
      </c>
      <c r="Q92" s="93"/>
      <c r="R92" s="93"/>
      <c r="S92" s="93"/>
      <c r="T92" s="94"/>
    </row>
    <row r="93" spans="2:20" s="12" customFormat="1" ht="13.8" x14ac:dyDescent="0.3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99"/>
      <c r="N93" s="77"/>
      <c r="O93" s="77"/>
      <c r="P93" s="92"/>
      <c r="Q93" s="93"/>
      <c r="R93" s="93"/>
      <c r="S93" s="93"/>
      <c r="T93" s="94"/>
    </row>
    <row r="94" spans="2:20" s="12" customFormat="1" ht="13.8" x14ac:dyDescent="0.3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99"/>
      <c r="N94" s="77"/>
      <c r="O94" s="77"/>
      <c r="P94" s="92"/>
      <c r="Q94" s="93"/>
      <c r="R94" s="93"/>
      <c r="S94" s="93"/>
      <c r="T94" s="94"/>
    </row>
    <row r="95" spans="2:20" s="12" customFormat="1" ht="15" customHeight="1" x14ac:dyDescent="0.3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7"/>
      <c r="N95" s="77"/>
      <c r="O95" s="77"/>
      <c r="P95" s="92"/>
      <c r="Q95" s="93"/>
      <c r="R95" s="93"/>
      <c r="S95" s="93"/>
      <c r="T95" s="94"/>
    </row>
    <row r="96" spans="2:20" s="12" customFormat="1" ht="15" customHeight="1" x14ac:dyDescent="0.3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7"/>
      <c r="N96" s="77"/>
      <c r="O96" s="77"/>
      <c r="P96" s="92"/>
      <c r="Q96" s="93"/>
      <c r="R96" s="93"/>
      <c r="S96" s="93"/>
      <c r="T96" s="94"/>
    </row>
    <row r="97" spans="2:20" s="12" customFormat="1" ht="15" customHeight="1" x14ac:dyDescent="0.35">
      <c r="B97" s="4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2:20" ht="18" x14ac:dyDescent="0.35">
      <c r="B98" s="4" t="s">
        <v>61</v>
      </c>
    </row>
    <row r="99" spans="2:20" ht="15" customHeight="1" x14ac:dyDescent="0.3">
      <c r="B99" s="96" t="s">
        <v>62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</row>
    <row r="100" spans="2:20" x14ac:dyDescent="0.3">
      <c r="B100" s="84" t="s">
        <v>47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97" t="s">
        <v>59</v>
      </c>
      <c r="N100" s="97"/>
      <c r="O100" s="97"/>
      <c r="P100" s="86" t="s">
        <v>49</v>
      </c>
      <c r="Q100" s="87"/>
      <c r="R100" s="87"/>
      <c r="S100" s="87"/>
      <c r="T100" s="88"/>
    </row>
    <row r="101" spans="2:20" ht="15" customHeight="1" x14ac:dyDescent="0.3">
      <c r="B101" s="74" t="s">
        <v>300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99">
        <v>6.9444444444444441E-3</v>
      </c>
      <c r="N101" s="77"/>
      <c r="O101" s="77"/>
      <c r="P101" s="92" t="str">
        <f t="shared" ref="P101:P104" si="5">$D$28</f>
        <v>Murilo Moraes</v>
      </c>
      <c r="Q101" s="93"/>
      <c r="R101" s="93"/>
      <c r="S101" s="93"/>
      <c r="T101" s="94"/>
    </row>
    <row r="102" spans="2:20" s="12" customFormat="1" ht="15" customHeight="1" x14ac:dyDescent="0.3">
      <c r="B102" s="100" t="s">
        <v>301</v>
      </c>
      <c r="C102" s="101"/>
      <c r="D102" s="101"/>
      <c r="E102" s="101"/>
      <c r="F102" s="101"/>
      <c r="G102" s="101"/>
      <c r="H102" s="101"/>
      <c r="I102" s="101"/>
      <c r="J102" s="101"/>
      <c r="K102" s="101"/>
      <c r="L102" s="102"/>
      <c r="M102" s="99">
        <v>4.1666666666666664E-2</v>
      </c>
      <c r="N102" s="77"/>
      <c r="O102" s="77"/>
      <c r="P102" s="92" t="str">
        <f t="shared" si="5"/>
        <v>Murilo Moraes</v>
      </c>
      <c r="Q102" s="93"/>
      <c r="R102" s="93"/>
      <c r="S102" s="93"/>
      <c r="T102" s="94"/>
    </row>
    <row r="103" spans="2:20" s="12" customFormat="1" ht="13.8" x14ac:dyDescent="0.3">
      <c r="B103" s="74" t="s">
        <v>302</v>
      </c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99">
        <v>2.0833333333333332E-2</v>
      </c>
      <c r="N103" s="77"/>
      <c r="O103" s="77"/>
      <c r="P103" s="92" t="str">
        <f t="shared" si="5"/>
        <v>Murilo Moraes</v>
      </c>
      <c r="Q103" s="93"/>
      <c r="R103" s="93"/>
      <c r="S103" s="93"/>
      <c r="T103" s="94"/>
    </row>
    <row r="104" spans="2:20" s="12" customFormat="1" ht="13.8" x14ac:dyDescent="0.3">
      <c r="B104" s="74" t="s">
        <v>303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9">
        <v>2.0833333333333332E-2</v>
      </c>
      <c r="N104" s="77"/>
      <c r="O104" s="77"/>
      <c r="P104" s="92" t="str">
        <f t="shared" si="5"/>
        <v>Murilo Moraes</v>
      </c>
      <c r="Q104" s="93"/>
      <c r="R104" s="93"/>
      <c r="S104" s="93"/>
      <c r="T104" s="94"/>
    </row>
    <row r="105" spans="2:20" s="12" customFormat="1" ht="13.8" x14ac:dyDescent="0.3">
      <c r="B105" s="74" t="s">
        <v>304</v>
      </c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99">
        <v>4.1666666666666664E-2</v>
      </c>
      <c r="N105" s="77"/>
      <c r="O105" s="77"/>
      <c r="P105" s="92" t="str">
        <f>$D$28</f>
        <v>Murilo Moraes</v>
      </c>
      <c r="Q105" s="93"/>
      <c r="R105" s="93"/>
      <c r="S105" s="93"/>
      <c r="T105" s="94"/>
    </row>
    <row r="106" spans="2:20" s="12" customFormat="1" ht="13.8" x14ac:dyDescent="0.3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9"/>
      <c r="N106" s="77"/>
      <c r="O106" s="77"/>
      <c r="P106" s="92"/>
      <c r="Q106" s="93"/>
      <c r="R106" s="93"/>
      <c r="S106" s="93"/>
      <c r="T106" s="94"/>
    </row>
    <row r="107" spans="2:20" s="12" customFormat="1" ht="13.8" x14ac:dyDescent="0.3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/>
      <c r="N107" s="77"/>
      <c r="O107" s="77"/>
      <c r="P107" s="92"/>
      <c r="Q107" s="93"/>
      <c r="R107" s="93"/>
      <c r="S107" s="93"/>
      <c r="T107" s="94"/>
    </row>
    <row r="108" spans="2:20" s="12" customFormat="1" ht="13.8" x14ac:dyDescent="0.3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99"/>
      <c r="N108" s="77"/>
      <c r="O108" s="77"/>
      <c r="P108" s="92"/>
      <c r="Q108" s="93"/>
      <c r="R108" s="93"/>
      <c r="S108" s="93"/>
      <c r="T108" s="94"/>
    </row>
    <row r="109" spans="2:20" x14ac:dyDescent="0.3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2:20" ht="15" customHeight="1" x14ac:dyDescent="0.35">
      <c r="B110" s="4" t="s">
        <v>64</v>
      </c>
      <c r="C110" s="5"/>
      <c r="D110" s="5"/>
      <c r="E110" s="5"/>
      <c r="F110" s="5"/>
      <c r="G110" s="5"/>
      <c r="H110" s="5"/>
      <c r="I110" s="5"/>
      <c r="J110" s="5"/>
    </row>
    <row r="111" spans="2:20" x14ac:dyDescent="0.3">
      <c r="B111" s="109" t="s">
        <v>0</v>
      </c>
      <c r="C111" s="110"/>
      <c r="D111" s="110"/>
      <c r="E111" s="110"/>
      <c r="F111" s="110"/>
      <c r="G111" s="110"/>
      <c r="H111" s="111"/>
      <c r="I111" s="109" t="s">
        <v>65</v>
      </c>
      <c r="J111" s="110"/>
      <c r="K111" s="110"/>
      <c r="L111" s="111"/>
      <c r="M111" s="86" t="s">
        <v>66</v>
      </c>
      <c r="N111" s="87"/>
      <c r="O111" s="87"/>
      <c r="P111" s="88"/>
      <c r="Q111" s="86" t="s">
        <v>1</v>
      </c>
      <c r="R111" s="87"/>
      <c r="S111" s="87"/>
      <c r="T111" s="88"/>
    </row>
    <row r="112" spans="2:20" x14ac:dyDescent="0.3">
      <c r="B112" s="103" t="str">
        <f>D28</f>
        <v>Murilo Moraes</v>
      </c>
      <c r="C112" s="104"/>
      <c r="D112" s="104"/>
      <c r="E112" s="104"/>
      <c r="F112" s="104"/>
      <c r="G112" s="104"/>
      <c r="H112" s="105"/>
      <c r="I112" s="103" t="s">
        <v>3</v>
      </c>
      <c r="J112" s="104"/>
      <c r="K112" s="104"/>
      <c r="L112" s="105"/>
      <c r="M112" s="106" t="s">
        <v>53</v>
      </c>
      <c r="N112" s="107"/>
      <c r="O112" s="107"/>
      <c r="P112" s="108"/>
      <c r="Q112" s="106" t="s">
        <v>5</v>
      </c>
      <c r="R112" s="107"/>
      <c r="S112" s="107"/>
      <c r="T112" s="108"/>
    </row>
    <row r="113" spans="2:20" ht="15" customHeight="1" x14ac:dyDescent="0.3">
      <c r="B113" s="103" t="s">
        <v>67</v>
      </c>
      <c r="C113" s="104"/>
      <c r="D113" s="104"/>
      <c r="E113" s="104"/>
      <c r="F113" s="104"/>
      <c r="G113" s="104"/>
      <c r="H113" s="105"/>
      <c r="I113" s="103" t="s">
        <v>68</v>
      </c>
      <c r="J113" s="104"/>
      <c r="K113" s="104"/>
      <c r="L113" s="105"/>
      <c r="M113" s="106" t="s">
        <v>53</v>
      </c>
      <c r="N113" s="107"/>
      <c r="O113" s="107"/>
      <c r="P113" s="108"/>
      <c r="Q113" s="106" t="s">
        <v>2</v>
      </c>
      <c r="R113" s="107"/>
      <c r="S113" s="107"/>
      <c r="T113" s="108"/>
    </row>
    <row r="114" spans="2:20" x14ac:dyDescent="0.3">
      <c r="B114" s="103" t="s">
        <v>69</v>
      </c>
      <c r="C114" s="104"/>
      <c r="D114" s="104"/>
      <c r="E114" s="104"/>
      <c r="F114" s="104"/>
      <c r="G114" s="104"/>
      <c r="H114" s="105"/>
      <c r="I114" s="103" t="s">
        <v>70</v>
      </c>
      <c r="J114" s="104"/>
      <c r="K114" s="104"/>
      <c r="L114" s="105"/>
      <c r="M114" s="106" t="s">
        <v>53</v>
      </c>
      <c r="N114" s="107"/>
      <c r="O114" s="107"/>
      <c r="P114" s="108"/>
      <c r="Q114" s="106" t="s">
        <v>5</v>
      </c>
      <c r="R114" s="107"/>
      <c r="S114" s="107"/>
      <c r="T114" s="108"/>
    </row>
    <row r="120" spans="2:20" ht="18" x14ac:dyDescent="0.35">
      <c r="B120" s="4" t="s">
        <v>71</v>
      </c>
      <c r="C120" s="5"/>
      <c r="D120" s="5"/>
      <c r="E120" s="5"/>
      <c r="F120" s="5"/>
      <c r="G120" s="5"/>
      <c r="H120" s="5"/>
      <c r="I120" s="5"/>
      <c r="J120" s="5"/>
    </row>
    <row r="121" spans="2:20" x14ac:dyDescent="0.3">
      <c r="B121" s="121" t="s">
        <v>72</v>
      </c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3"/>
    </row>
    <row r="122" spans="2:20" x14ac:dyDescent="0.3">
      <c r="B122" s="124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6"/>
    </row>
    <row r="123" spans="2:20" x14ac:dyDescent="0.3">
      <c r="B123" s="127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9"/>
    </row>
    <row r="124" spans="2:20" x14ac:dyDescent="0.3">
      <c r="B124" s="127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9"/>
    </row>
    <row r="125" spans="2:20" x14ac:dyDescent="0.3">
      <c r="B125" s="127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9"/>
    </row>
    <row r="126" spans="2:20" x14ac:dyDescent="0.3"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9"/>
    </row>
    <row r="127" spans="2:20" x14ac:dyDescent="0.3"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9"/>
    </row>
    <row r="128" spans="2:20" x14ac:dyDescent="0.3"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9"/>
    </row>
    <row r="129" spans="2:20" x14ac:dyDescent="0.3"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9"/>
    </row>
    <row r="130" spans="2:20" x14ac:dyDescent="0.3"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9"/>
    </row>
    <row r="131" spans="2:20" x14ac:dyDescent="0.3"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9"/>
    </row>
    <row r="132" spans="2:20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x14ac:dyDescent="0.3"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9"/>
    </row>
    <row r="134" spans="2:20" x14ac:dyDescent="0.3">
      <c r="B134" s="127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9"/>
    </row>
    <row r="135" spans="2:20" x14ac:dyDescent="0.3">
      <c r="B135" s="127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9"/>
    </row>
    <row r="136" spans="2:20" x14ac:dyDescent="0.3">
      <c r="B136" s="127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9"/>
    </row>
    <row r="137" spans="2:20" x14ac:dyDescent="0.3">
      <c r="B137" s="127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9"/>
    </row>
    <row r="138" spans="2:20" x14ac:dyDescent="0.3">
      <c r="B138" s="127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9"/>
    </row>
    <row r="139" spans="2:20" x14ac:dyDescent="0.3"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2:20" x14ac:dyDescent="0.3">
      <c r="B140" s="121" t="s">
        <v>73</v>
      </c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3"/>
    </row>
    <row r="141" spans="2:20" x14ac:dyDescent="0.3">
      <c r="B141" s="124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6"/>
    </row>
    <row r="142" spans="2:20" x14ac:dyDescent="0.3">
      <c r="B142" s="127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9"/>
    </row>
    <row r="143" spans="2:20" x14ac:dyDescent="0.3">
      <c r="B143" s="127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9"/>
    </row>
    <row r="144" spans="2:20" x14ac:dyDescent="0.3">
      <c r="B144" s="127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9"/>
    </row>
    <row r="145" spans="2:20" x14ac:dyDescent="0.3">
      <c r="B145" s="127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9"/>
    </row>
    <row r="146" spans="2:20" x14ac:dyDescent="0.3">
      <c r="B146" s="127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9"/>
    </row>
    <row r="147" spans="2:20" x14ac:dyDescent="0.3">
      <c r="B147" s="127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9"/>
    </row>
    <row r="148" spans="2:20" x14ac:dyDescent="0.3">
      <c r="B148" s="127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9"/>
    </row>
    <row r="149" spans="2:20" x14ac:dyDescent="0.3">
      <c r="B149" s="127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9"/>
    </row>
    <row r="150" spans="2:20" x14ac:dyDescent="0.3">
      <c r="B150" s="127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9"/>
    </row>
    <row r="151" spans="2:20" x14ac:dyDescent="0.3">
      <c r="B151" s="127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9"/>
    </row>
    <row r="152" spans="2:20" x14ac:dyDescent="0.3">
      <c r="B152" s="127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9"/>
    </row>
    <row r="153" spans="2:20" x14ac:dyDescent="0.3">
      <c r="B153" s="6"/>
      <c r="C153" s="6"/>
      <c r="D153" s="6"/>
      <c r="E153" s="6"/>
      <c r="F153" s="6"/>
      <c r="G153" s="6"/>
      <c r="H153" s="6"/>
      <c r="I153" s="6"/>
      <c r="J153" s="6"/>
    </row>
    <row r="154" spans="2:20" x14ac:dyDescent="0.3">
      <c r="B154" s="13"/>
    </row>
    <row r="155" spans="2:20" ht="18" x14ac:dyDescent="0.35">
      <c r="B155" s="4" t="s">
        <v>74</v>
      </c>
    </row>
    <row r="156" spans="2:20" x14ac:dyDescent="0.3">
      <c r="B156" s="109" t="s">
        <v>0</v>
      </c>
      <c r="C156" s="110"/>
      <c r="D156" s="110"/>
      <c r="E156" s="110"/>
      <c r="F156" s="110"/>
      <c r="G156" s="111"/>
      <c r="H156" s="109" t="s">
        <v>65</v>
      </c>
      <c r="I156" s="110"/>
      <c r="J156" s="110"/>
      <c r="K156" s="110"/>
      <c r="L156" s="111"/>
      <c r="M156" s="97" t="s">
        <v>66</v>
      </c>
      <c r="N156" s="97"/>
      <c r="O156" s="97"/>
      <c r="P156" s="97"/>
      <c r="Q156" s="86" t="s">
        <v>75</v>
      </c>
      <c r="R156" s="87"/>
      <c r="S156" s="87"/>
      <c r="T156" s="88"/>
    </row>
    <row r="157" spans="2:20" x14ac:dyDescent="0.3">
      <c r="B157" s="112" t="s">
        <v>67</v>
      </c>
      <c r="C157" s="113"/>
      <c r="D157" s="113"/>
      <c r="E157" s="113"/>
      <c r="F157" s="113"/>
      <c r="G157" s="114"/>
      <c r="H157" s="115" t="s">
        <v>76</v>
      </c>
      <c r="I157" s="116"/>
      <c r="J157" s="116"/>
      <c r="K157" s="116"/>
      <c r="L157" s="117"/>
      <c r="M157" s="118" t="s">
        <v>53</v>
      </c>
      <c r="N157" s="119"/>
      <c r="O157" s="119"/>
      <c r="P157" s="120"/>
      <c r="Q157" s="118"/>
      <c r="R157" s="119"/>
      <c r="S157" s="119"/>
      <c r="T157" s="120"/>
    </row>
  </sheetData>
  <sheetProtection selectLockedCells="1"/>
  <mergeCells count="243">
    <mergeCell ref="B10:F10"/>
    <mergeCell ref="G10:T10"/>
    <mergeCell ref="B11:F11"/>
    <mergeCell ref="G11:T11"/>
    <mergeCell ref="B12:F12"/>
    <mergeCell ref="G12:T12"/>
    <mergeCell ref="AA4:AB4"/>
    <mergeCell ref="B5:I5"/>
    <mergeCell ref="J5:T5"/>
    <mergeCell ref="B6:I6"/>
    <mergeCell ref="J6:T6"/>
    <mergeCell ref="B7:I7"/>
    <mergeCell ref="J7:T7"/>
    <mergeCell ref="B18:J18"/>
    <mergeCell ref="K18:T18"/>
    <mergeCell ref="B19:J19"/>
    <mergeCell ref="K19:T19"/>
    <mergeCell ref="B20:J20"/>
    <mergeCell ref="K20:T20"/>
    <mergeCell ref="B15:J15"/>
    <mergeCell ref="K15:T15"/>
    <mergeCell ref="B16:J16"/>
    <mergeCell ref="K16:T16"/>
    <mergeCell ref="B17:J17"/>
    <mergeCell ref="K17:T17"/>
    <mergeCell ref="D28:J28"/>
    <mergeCell ref="L28:M28"/>
    <mergeCell ref="N28:T28"/>
    <mergeCell ref="D29:J29"/>
    <mergeCell ref="L29:M29"/>
    <mergeCell ref="N29:T29"/>
    <mergeCell ref="D24:J24"/>
    <mergeCell ref="L24:M24"/>
    <mergeCell ref="N24:T24"/>
    <mergeCell ref="D25:J25"/>
    <mergeCell ref="L25:M25"/>
    <mergeCell ref="N25:T25"/>
    <mergeCell ref="B35:H35"/>
    <mergeCell ref="I35:J35"/>
    <mergeCell ref="L35:T35"/>
    <mergeCell ref="B36:H36"/>
    <mergeCell ref="I36:J36"/>
    <mergeCell ref="L36:T36"/>
    <mergeCell ref="B32:F32"/>
    <mergeCell ref="G32:J32"/>
    <mergeCell ref="L32:P32"/>
    <mergeCell ref="Q32:T32"/>
    <mergeCell ref="B33:F33"/>
    <mergeCell ref="G33:J33"/>
    <mergeCell ref="L33:T33"/>
    <mergeCell ref="B43:K43"/>
    <mergeCell ref="L43:T43"/>
    <mergeCell ref="B44:K44"/>
    <mergeCell ref="L44:T44"/>
    <mergeCell ref="B45:K45"/>
    <mergeCell ref="L45:T45"/>
    <mergeCell ref="B40:K40"/>
    <mergeCell ref="L40:T40"/>
    <mergeCell ref="B41:K41"/>
    <mergeCell ref="L41:T41"/>
    <mergeCell ref="B42:K42"/>
    <mergeCell ref="L42:T42"/>
    <mergeCell ref="B50:H50"/>
    <mergeCell ref="I50:K50"/>
    <mergeCell ref="L50:M50"/>
    <mergeCell ref="N50:T50"/>
    <mergeCell ref="B51:H51"/>
    <mergeCell ref="I51:K51"/>
    <mergeCell ref="L51:M51"/>
    <mergeCell ref="N51:T51"/>
    <mergeCell ref="B46:K46"/>
    <mergeCell ref="L46:T46"/>
    <mergeCell ref="B47:E47"/>
    <mergeCell ref="F47:J47"/>
    <mergeCell ref="B49:H49"/>
    <mergeCell ref="I49:K49"/>
    <mergeCell ref="L49:M49"/>
    <mergeCell ref="N49:T49"/>
    <mergeCell ref="B54:H54"/>
    <mergeCell ref="I54:K54"/>
    <mergeCell ref="L54:M54"/>
    <mergeCell ref="N54:T54"/>
    <mergeCell ref="B55:H55"/>
    <mergeCell ref="I55:K55"/>
    <mergeCell ref="L55:M55"/>
    <mergeCell ref="N55:T55"/>
    <mergeCell ref="B52:H52"/>
    <mergeCell ref="I52:K52"/>
    <mergeCell ref="L52:M52"/>
    <mergeCell ref="N52:T52"/>
    <mergeCell ref="B53:H53"/>
    <mergeCell ref="I53:K53"/>
    <mergeCell ref="L53:M53"/>
    <mergeCell ref="N53:T53"/>
    <mergeCell ref="B62:L62"/>
    <mergeCell ref="M62:O62"/>
    <mergeCell ref="P62:T62"/>
    <mergeCell ref="B63:L63"/>
    <mergeCell ref="M63:O63"/>
    <mergeCell ref="P63:T63"/>
    <mergeCell ref="B56:H56"/>
    <mergeCell ref="I56:K56"/>
    <mergeCell ref="L56:M56"/>
    <mergeCell ref="N56:T56"/>
    <mergeCell ref="B61:L61"/>
    <mergeCell ref="M61:O61"/>
    <mergeCell ref="P61:T61"/>
    <mergeCell ref="B66:L66"/>
    <mergeCell ref="M66:O66"/>
    <mergeCell ref="P66:T66"/>
    <mergeCell ref="B67:L67"/>
    <mergeCell ref="M67:O67"/>
    <mergeCell ref="P67:T67"/>
    <mergeCell ref="B64:L64"/>
    <mergeCell ref="M64:O64"/>
    <mergeCell ref="P64:T64"/>
    <mergeCell ref="B65:L65"/>
    <mergeCell ref="M65:O65"/>
    <mergeCell ref="P65:T65"/>
    <mergeCell ref="B72:T72"/>
    <mergeCell ref="B73:L73"/>
    <mergeCell ref="M73:O73"/>
    <mergeCell ref="P73:T73"/>
    <mergeCell ref="B74:L74"/>
    <mergeCell ref="M74:O74"/>
    <mergeCell ref="P74:T74"/>
    <mergeCell ref="B68:L68"/>
    <mergeCell ref="M68:O68"/>
    <mergeCell ref="P68:T68"/>
    <mergeCell ref="B69:L69"/>
    <mergeCell ref="M69:O69"/>
    <mergeCell ref="P69:T69"/>
    <mergeCell ref="B77:L77"/>
    <mergeCell ref="M77:O77"/>
    <mergeCell ref="P77:T77"/>
    <mergeCell ref="B78:L78"/>
    <mergeCell ref="M78:O78"/>
    <mergeCell ref="P78:T78"/>
    <mergeCell ref="B75:L75"/>
    <mergeCell ref="M75:O75"/>
    <mergeCell ref="P75:T75"/>
    <mergeCell ref="B76:L76"/>
    <mergeCell ref="M76:O76"/>
    <mergeCell ref="P76:T76"/>
    <mergeCell ref="B81:L81"/>
    <mergeCell ref="M81:O81"/>
    <mergeCell ref="P81:T81"/>
    <mergeCell ref="B82:L82"/>
    <mergeCell ref="M82:O82"/>
    <mergeCell ref="P82:T82"/>
    <mergeCell ref="B79:L79"/>
    <mergeCell ref="M79:O79"/>
    <mergeCell ref="P79:T79"/>
    <mergeCell ref="B80:L80"/>
    <mergeCell ref="M80:O80"/>
    <mergeCell ref="P80:T80"/>
    <mergeCell ref="B87:T88"/>
    <mergeCell ref="B89:L89"/>
    <mergeCell ref="M89:O89"/>
    <mergeCell ref="P89:T89"/>
    <mergeCell ref="B90:L90"/>
    <mergeCell ref="M90:O90"/>
    <mergeCell ref="P90:T90"/>
    <mergeCell ref="B83:L83"/>
    <mergeCell ref="M83:O83"/>
    <mergeCell ref="P83:T83"/>
    <mergeCell ref="B84:L84"/>
    <mergeCell ref="M84:O84"/>
    <mergeCell ref="P84:T84"/>
    <mergeCell ref="B93:L93"/>
    <mergeCell ref="M93:O93"/>
    <mergeCell ref="P93:T93"/>
    <mergeCell ref="B94:L94"/>
    <mergeCell ref="M94:O94"/>
    <mergeCell ref="P94:T94"/>
    <mergeCell ref="B91:L91"/>
    <mergeCell ref="M91:O91"/>
    <mergeCell ref="P91:T91"/>
    <mergeCell ref="B92:L92"/>
    <mergeCell ref="M92:O92"/>
    <mergeCell ref="P92:T92"/>
    <mergeCell ref="B99:T99"/>
    <mergeCell ref="B100:L100"/>
    <mergeCell ref="M100:O100"/>
    <mergeCell ref="P100:T100"/>
    <mergeCell ref="B101:L101"/>
    <mergeCell ref="M101:O101"/>
    <mergeCell ref="P101:T101"/>
    <mergeCell ref="B95:L95"/>
    <mergeCell ref="M95:O95"/>
    <mergeCell ref="P95:T95"/>
    <mergeCell ref="B96:L96"/>
    <mergeCell ref="M96:O96"/>
    <mergeCell ref="P96:T96"/>
    <mergeCell ref="B104:L104"/>
    <mergeCell ref="M104:O104"/>
    <mergeCell ref="P104:T104"/>
    <mergeCell ref="B105:L105"/>
    <mergeCell ref="M105:O105"/>
    <mergeCell ref="P105:T105"/>
    <mergeCell ref="B102:L102"/>
    <mergeCell ref="M102:O102"/>
    <mergeCell ref="P102:T102"/>
    <mergeCell ref="B103:L103"/>
    <mergeCell ref="M103:O103"/>
    <mergeCell ref="P103:T103"/>
    <mergeCell ref="B108:L108"/>
    <mergeCell ref="M108:O108"/>
    <mergeCell ref="P108:T108"/>
    <mergeCell ref="B111:H111"/>
    <mergeCell ref="I111:L111"/>
    <mergeCell ref="M111:P111"/>
    <mergeCell ref="Q111:T111"/>
    <mergeCell ref="B106:L106"/>
    <mergeCell ref="M106:O106"/>
    <mergeCell ref="P106:T106"/>
    <mergeCell ref="B107:L107"/>
    <mergeCell ref="M107:O107"/>
    <mergeCell ref="P107:T107"/>
    <mergeCell ref="B114:H114"/>
    <mergeCell ref="I114:L114"/>
    <mergeCell ref="M114:P114"/>
    <mergeCell ref="Q114:T114"/>
    <mergeCell ref="B121:T121"/>
    <mergeCell ref="B122:T138"/>
    <mergeCell ref="B112:H112"/>
    <mergeCell ref="I112:L112"/>
    <mergeCell ref="M112:P112"/>
    <mergeCell ref="Q112:T112"/>
    <mergeCell ref="B113:H113"/>
    <mergeCell ref="I113:L113"/>
    <mergeCell ref="M113:P113"/>
    <mergeCell ref="Q113:T113"/>
    <mergeCell ref="B157:G157"/>
    <mergeCell ref="H157:L157"/>
    <mergeCell ref="M157:P157"/>
    <mergeCell ref="Q157:T157"/>
    <mergeCell ref="B140:T140"/>
    <mergeCell ref="B141:T152"/>
    <mergeCell ref="B156:G156"/>
    <mergeCell ref="H156:L156"/>
    <mergeCell ref="M156:P156"/>
    <mergeCell ref="Q156:T156"/>
  </mergeCells>
  <conditionalFormatting sqref="B40:B46">
    <cfRule type="notContainsBlanks" dxfId="63" priority="34">
      <formula>LEN(TRIM(B40))&gt;0</formula>
    </cfRule>
  </conditionalFormatting>
  <conditionalFormatting sqref="D24:J25">
    <cfRule type="containsBlanks" dxfId="62" priority="15">
      <formula>LEN(TRIM(D24))=0</formula>
    </cfRule>
  </conditionalFormatting>
  <conditionalFormatting sqref="D28:J29">
    <cfRule type="containsBlanks" dxfId="61" priority="2">
      <formula>LEN(TRIM(D28))=0</formula>
    </cfRule>
  </conditionalFormatting>
  <conditionalFormatting sqref="G32:J33">
    <cfRule type="containsBlanks" dxfId="60" priority="11">
      <formula>LEN(TRIM(G32))=0</formula>
    </cfRule>
  </conditionalFormatting>
  <conditionalFormatting sqref="G10:T10">
    <cfRule type="containsBlanks" dxfId="59" priority="18">
      <formula>LEN(TRIM(G10))=0</formula>
    </cfRule>
  </conditionalFormatting>
  <conditionalFormatting sqref="G11:T12">
    <cfRule type="containsBlanks" dxfId="58" priority="29">
      <formula>LEN(TRIM(G11))=0</formula>
    </cfRule>
  </conditionalFormatting>
  <conditionalFormatting sqref="I35:I36">
    <cfRule type="containsBlanks" dxfId="57" priority="7">
      <formula>LEN(TRIM(I35))=0</formula>
    </cfRule>
  </conditionalFormatting>
  <conditionalFormatting sqref="J5:T5">
    <cfRule type="containsText" dxfId="56" priority="33" operator="containsText" text="Nome do Cliente">
      <formula>NOT(ISERROR(SEARCH("Nome do Cliente",J5)))</formula>
    </cfRule>
  </conditionalFormatting>
  <conditionalFormatting sqref="J5:T7">
    <cfRule type="containsBlanks" dxfId="55" priority="31">
      <formula>LEN(TRIM(J5))=0</formula>
    </cfRule>
  </conditionalFormatting>
  <conditionalFormatting sqref="J6:T6">
    <cfRule type="containsText" dxfId="54" priority="32" operator="containsText" text="01/01/2023">
      <formula>NOT(ISERROR(SEARCH("01/01/2023",J6)))</formula>
    </cfRule>
  </conditionalFormatting>
  <conditionalFormatting sqref="J7:T7">
    <cfRule type="containsText" dxfId="53" priority="30" operator="containsText" text="Nome do solicitante">
      <formula>NOT(ISERROR(SEARCH("Nome do solicitante",J7)))</formula>
    </cfRule>
  </conditionalFormatting>
  <conditionalFormatting sqref="L39">
    <cfRule type="notContainsBlanks" dxfId="52" priority="36">
      <formula>LEN(TRIM(L39))&gt;0</formula>
    </cfRule>
  </conditionalFormatting>
  <conditionalFormatting sqref="L33:T33">
    <cfRule type="beginsWith" dxfId="50" priority="8" operator="beginsWith" text="ABORTAR">
      <formula>LEFT(L33,LEN("ABORTAR"))="ABORTAR"</formula>
    </cfRule>
    <cfRule type="beginsWith" dxfId="49" priority="9" operator="beginsWith" text="Print">
      <formula>LEFT(L33,LEN("Print"))="Print"</formula>
    </cfRule>
    <cfRule type="beginsWith" dxfId="48" priority="10" operator="beginsWith" text="ALERTA">
      <formula>LEFT(L33,LEN("ALERTA"))="ALERTA"</formula>
    </cfRule>
  </conditionalFormatting>
  <conditionalFormatting sqref="L35:T36">
    <cfRule type="beginsWith" dxfId="47" priority="4" operator="beginsWith" text="ABORTAR">
      <formula>LEFT(L35,LEN("ABORTAR"))="ABORTAR"</formula>
    </cfRule>
    <cfRule type="beginsWith" dxfId="46" priority="5" operator="beginsWith" text="Print">
      <formula>LEFT(L35,LEN("Print"))="Print"</formula>
    </cfRule>
    <cfRule type="beginsWith" dxfId="45" priority="6" operator="beginsWith" text="ALERTA">
      <formula>LEFT(L35,LEN("ALERTA"))="ALERTA"</formula>
    </cfRule>
  </conditionalFormatting>
  <conditionalFormatting sqref="L40:T40">
    <cfRule type="expression" dxfId="44" priority="28">
      <formula>$B$40&lt;&gt;""</formula>
    </cfRule>
    <cfRule type="expression" dxfId="43" priority="27">
      <formula>AND($B$40&lt;&gt;"",$L$40="")</formula>
    </cfRule>
  </conditionalFormatting>
  <conditionalFormatting sqref="L41:T41">
    <cfRule type="expression" dxfId="42" priority="26">
      <formula>AND($B$41&lt;&gt;"",$L$41="")</formula>
    </cfRule>
  </conditionalFormatting>
  <conditionalFormatting sqref="L41:T46">
    <cfRule type="notContainsBlanks" dxfId="41" priority="20">
      <formula>LEN(TRIM(L41))&gt;0</formula>
    </cfRule>
  </conditionalFormatting>
  <conditionalFormatting sqref="L42:T42">
    <cfRule type="expression" dxfId="40" priority="25">
      <formula>AND($B$42&lt;&gt;"",$L$42="")</formula>
    </cfRule>
  </conditionalFormatting>
  <conditionalFormatting sqref="L43:T43">
    <cfRule type="expression" dxfId="39" priority="24">
      <formula>AND($B$43&lt;&gt;"",$L$43="")</formula>
    </cfRule>
  </conditionalFormatting>
  <conditionalFormatting sqref="L44:T44">
    <cfRule type="expression" dxfId="38" priority="23">
      <formula>AND($B$44&lt;&gt;"",$L$44="")</formula>
    </cfRule>
  </conditionalFormatting>
  <conditionalFormatting sqref="L45:T45">
    <cfRule type="expression" dxfId="37" priority="22">
      <formula>AND($B$45&lt;&gt;"",$L$45="")</formula>
    </cfRule>
  </conditionalFormatting>
  <conditionalFormatting sqref="L46:T46">
    <cfRule type="expression" dxfId="36" priority="21">
      <formula>AND($B$46&lt;&gt;"",$L$46="")</formula>
    </cfRule>
  </conditionalFormatting>
  <conditionalFormatting sqref="N24:T25">
    <cfRule type="containsBlanks" dxfId="35" priority="17">
      <formula>LEN(TRIM(N24))=0</formula>
    </cfRule>
  </conditionalFormatting>
  <conditionalFormatting sqref="N28:T29">
    <cfRule type="containsBlanks" dxfId="34" priority="1">
      <formula>LEN(TRIM(N28))=0</formula>
    </cfRule>
  </conditionalFormatting>
  <conditionalFormatting sqref="Q32:T32">
    <cfRule type="containsBlanks" dxfId="33" priority="12">
      <formula>LEN(TRIM(Q32))=0</formula>
    </cfRule>
  </conditionalFormatting>
  <conditionalFormatting sqref="Q157:T157">
    <cfRule type="containsBlanks" dxfId="32" priority="19">
      <formula>LEN(TRIM(Q157))=0</formula>
    </cfRule>
  </conditionalFormatting>
  <dataValidations count="9">
    <dataValidation type="list" allowBlank="1" showInputMessage="1" showErrorMessage="1" sqref="B157:G157" xr:uid="{CF5D0CCA-4110-4391-A998-8173172437E3}">
      <formula1>"Wilson Kempim Jr."</formula1>
    </dataValidation>
    <dataValidation type="list" allowBlank="1" showInputMessage="1" showErrorMessage="1" sqref="Q32:T32" xr:uid="{5F9929F9-7AB9-4B14-B1DD-59A9274C9445}">
      <formula1>"WINDOWS,LINUX,WINDOWS &amp; LINUX"</formula1>
    </dataValidation>
    <dataValidation type="list" allowBlank="1" showInputMessage="1" showErrorMessage="1" sqref="G32:J32" xr:uid="{D287168A-4D65-4FF0-8A1B-0514A587BC21}">
      <formula1>"PRODUÇÃO,HOMOLOGAÇÃO,TESTES,TREINAMENTO,DESENVOLVIMENTO"</formula1>
    </dataValidation>
    <dataValidation type="list" allowBlank="1" showInputMessage="1" showErrorMessage="1" sqref="Q157:T157" xr:uid="{1C9DDD93-5F2B-4A6F-A21D-1DF702E87F40}">
      <formula1>"APROVADO,REPROVADO"</formula1>
    </dataValidation>
    <dataValidation type="list" allowBlank="1" showInputMessage="1" showErrorMessage="1" sqref="M62:O70" xr:uid="{2DC42CE8-EB0A-4188-AB58-368859C967E2}">
      <formula1>"NECESSÁRIO,OBRIGATÓRIO"</formula1>
    </dataValidation>
    <dataValidation type="list" allowBlank="1" showInputMessage="1" showErrorMessage="1" sqref="L50:M56" xr:uid="{82775474-CBE1-4BFB-9B9D-268860B60369}">
      <formula1>"ALTO,MÉDIO,BAIXO"</formula1>
    </dataValidation>
    <dataValidation type="list" allowBlank="1" showInputMessage="1" showErrorMessage="1" sqref="I50:K56" xr:uid="{9E10EAF8-0C49-4C8D-BC1F-9A255A10DEFC}">
      <formula1>"ALTA,MÉDIA,BAIXA"</formula1>
    </dataValidation>
    <dataValidation type="list" allowBlank="1" showInputMessage="1" showErrorMessage="1" sqref="G11" xr:uid="{BA0EF307-955D-46B0-B991-4E4535974BB2}">
      <formula1>"PROGRAMADA,EMERGENCIAL"</formula1>
    </dataValidation>
    <dataValidation type="list" allowBlank="1" showInputMessage="1" showErrorMessage="1" sqref="I33:I36 S37:S38 G33:H34 J33:J34 I38 M74:O84" xr:uid="{F467B4BD-9779-45CC-B982-627531B9F49E}">
      <formula1>"SIM,NÃO"</formula1>
    </dataValidation>
  </dataValidations>
  <pageMargins left="0.25" right="0.25" top="0.75" bottom="0.75" header="0.3" footer="0.3"/>
  <pageSetup paperSize="5" orientation="portrait" r:id="rId1"/>
  <headerFooter differentFirst="1">
    <oddHeader>&amp;L&amp;G</oddHeader>
    <oddFooter>&amp;RPágina &amp;P de &amp;N</oddFooter>
    <firstHeader>&amp;L&amp;G</firstHeader>
    <firstFooter>&amp;RPágina &amp;P de &amp;N</first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4316B282-976E-43D0-8009-D6B5B0A14BAA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5" operator="containsText" id="{252B1E52-AB0D-4C1E-A193-5C5A4CC68885}">
            <xm:f>NOT(ISERROR(SEARCH("Risco de perda de dados sem o flashback!",L39)))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C41893-5144-4D4E-A426-C01891CD5D52}">
          <x14:formula1>
            <xm:f>#REF!</xm:f>
          </x14:formula1>
          <xm:sqref>D28:J28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3DF3-E0CA-4ECF-AB4D-7370BFC80B20}">
  <dimension ref="B4:AB157"/>
  <sheetViews>
    <sheetView showGridLines="0" tabSelected="1" topLeftCell="A118" zoomScale="110" zoomScaleNormal="110" workbookViewId="0">
      <selection activeCell="B76" sqref="B76:L76"/>
    </sheetView>
  </sheetViews>
  <sheetFormatPr defaultColWidth="8.88671875" defaultRowHeight="14.4" x14ac:dyDescent="0.3"/>
  <cols>
    <col min="1" max="1" width="1.6640625" customWidth="1"/>
    <col min="2" max="11" width="5.109375" customWidth="1"/>
    <col min="12" max="12" width="6.6640625" customWidth="1"/>
    <col min="13" max="20" width="5.109375" customWidth="1"/>
    <col min="21" max="22" width="1.6640625" customWidth="1"/>
    <col min="27" max="27" width="12.109375" bestFit="1" customWidth="1"/>
    <col min="28" max="28" width="118.44140625" customWidth="1"/>
  </cols>
  <sheetData>
    <row r="4" spans="2:28" ht="18" x14ac:dyDescent="0.35">
      <c r="B4" s="4" t="s">
        <v>6</v>
      </c>
      <c r="C4" s="5"/>
      <c r="D4" s="5"/>
      <c r="E4" s="5"/>
      <c r="F4" s="5"/>
      <c r="G4" s="5"/>
      <c r="H4" s="5"/>
      <c r="I4" s="5"/>
      <c r="J4" s="5"/>
      <c r="AA4" s="174"/>
      <c r="AB4" s="174"/>
    </row>
    <row r="5" spans="2:28" x14ac:dyDescent="0.3">
      <c r="B5" s="27" t="s">
        <v>7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2:28" x14ac:dyDescent="0.3">
      <c r="B6" s="27" t="s">
        <v>8</v>
      </c>
      <c r="C6" s="27"/>
      <c r="D6" s="27"/>
      <c r="E6" s="27"/>
      <c r="F6" s="27"/>
      <c r="G6" s="27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8" x14ac:dyDescent="0.3">
      <c r="B7" s="27" t="s">
        <v>9</v>
      </c>
      <c r="C7" s="27"/>
      <c r="D7" s="27"/>
      <c r="E7" s="27"/>
      <c r="F7" s="27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8" x14ac:dyDescent="0.3">
      <c r="B8" s="6"/>
      <c r="C8" s="6"/>
      <c r="D8" s="6"/>
      <c r="E8" s="6"/>
      <c r="F8" s="6"/>
      <c r="G8" s="6"/>
      <c r="H8" s="6"/>
      <c r="I8" s="6"/>
      <c r="J8" s="6"/>
    </row>
    <row r="9" spans="2:28" ht="18" x14ac:dyDescent="0.35">
      <c r="B9" s="4" t="s">
        <v>10</v>
      </c>
      <c r="C9" s="5"/>
      <c r="D9" s="5"/>
      <c r="E9" s="5"/>
      <c r="F9" s="5"/>
      <c r="G9" s="5"/>
      <c r="H9" s="5"/>
      <c r="I9" s="5"/>
      <c r="J9" s="5"/>
    </row>
    <row r="10" spans="2:28" x14ac:dyDescent="0.3">
      <c r="B10" s="27" t="s">
        <v>11</v>
      </c>
      <c r="C10" s="27"/>
      <c r="D10" s="27"/>
      <c r="E10" s="27"/>
      <c r="F10" s="27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2:28" x14ac:dyDescent="0.3">
      <c r="B11" s="27" t="s">
        <v>12</v>
      </c>
      <c r="C11" s="27"/>
      <c r="D11" s="27"/>
      <c r="E11" s="27"/>
      <c r="F11" s="27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</row>
    <row r="12" spans="2:28" x14ac:dyDescent="0.3">
      <c r="B12" s="27" t="s">
        <v>13</v>
      </c>
      <c r="C12" s="27"/>
      <c r="D12" s="27"/>
      <c r="E12" s="27"/>
      <c r="F12" s="27"/>
      <c r="G12" s="42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</row>
    <row r="13" spans="2:28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28" ht="18" x14ac:dyDescent="0.35">
      <c r="B14" s="4" t="s">
        <v>14</v>
      </c>
      <c r="C14" s="5"/>
      <c r="D14" s="5"/>
      <c r="E14" s="5"/>
      <c r="F14" s="5"/>
      <c r="G14" s="5"/>
      <c r="H14" s="5"/>
      <c r="I14" s="5"/>
      <c r="J14" s="5"/>
    </row>
    <row r="15" spans="2:28" ht="14.4" customHeight="1" x14ac:dyDescent="0.3">
      <c r="B15" s="30" t="s">
        <v>15</v>
      </c>
      <c r="C15" s="31"/>
      <c r="D15" s="31"/>
      <c r="E15" s="31"/>
      <c r="F15" s="31"/>
      <c r="G15" s="31"/>
      <c r="H15" s="31"/>
      <c r="I15" s="31"/>
      <c r="J15" s="32"/>
      <c r="K15" s="33" t="s">
        <v>16</v>
      </c>
      <c r="L15" s="34"/>
      <c r="M15" s="34"/>
      <c r="N15" s="34"/>
      <c r="O15" s="34"/>
      <c r="P15" s="34"/>
      <c r="Q15" s="34"/>
      <c r="R15" s="34"/>
      <c r="S15" s="34"/>
      <c r="T15" s="35"/>
    </row>
    <row r="16" spans="2:28" x14ac:dyDescent="0.3"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40"/>
      <c r="M16" s="40"/>
      <c r="N16" s="40"/>
      <c r="O16" s="40"/>
      <c r="P16" s="40"/>
      <c r="Q16" s="40"/>
      <c r="R16" s="40"/>
      <c r="S16" s="40"/>
      <c r="T16" s="41"/>
    </row>
    <row r="17" spans="2:20" x14ac:dyDescent="0.3"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40"/>
      <c r="M17" s="40"/>
      <c r="N17" s="40"/>
      <c r="O17" s="40"/>
      <c r="P17" s="40"/>
      <c r="Q17" s="40"/>
      <c r="R17" s="40"/>
      <c r="S17" s="40"/>
      <c r="T17" s="41"/>
    </row>
    <row r="18" spans="2:20" x14ac:dyDescent="0.3"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40"/>
      <c r="M18" s="40"/>
      <c r="N18" s="40"/>
      <c r="O18" s="40"/>
      <c r="P18" s="40"/>
      <c r="Q18" s="40"/>
      <c r="R18" s="40"/>
      <c r="S18" s="40"/>
      <c r="T18" s="41"/>
    </row>
    <row r="19" spans="2:20" x14ac:dyDescent="0.3"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40"/>
      <c r="M19" s="40"/>
      <c r="N19" s="40"/>
      <c r="O19" s="40"/>
      <c r="P19" s="40"/>
      <c r="Q19" s="40"/>
      <c r="R19" s="40"/>
      <c r="S19" s="40"/>
      <c r="T19" s="41"/>
    </row>
    <row r="20" spans="2:20" x14ac:dyDescent="0.3"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40"/>
      <c r="M20" s="40"/>
      <c r="N20" s="40"/>
      <c r="O20" s="40"/>
      <c r="P20" s="40"/>
      <c r="Q20" s="40"/>
      <c r="R20" s="40"/>
      <c r="S20" s="40"/>
      <c r="T20" s="41"/>
    </row>
    <row r="21" spans="2:20" x14ac:dyDescent="0.3">
      <c r="B21" s="6"/>
      <c r="C21" s="6"/>
      <c r="D21" s="6"/>
      <c r="E21" s="6"/>
      <c r="F21" s="6"/>
      <c r="G21" s="6"/>
      <c r="H21" s="6"/>
      <c r="I21" s="6"/>
      <c r="J21" s="6"/>
    </row>
    <row r="22" spans="2:20" ht="18" x14ac:dyDescent="0.35">
      <c r="B22" s="1" t="s">
        <v>17</v>
      </c>
      <c r="C22" s="2"/>
      <c r="D22" s="2"/>
      <c r="E22" s="2"/>
      <c r="G22" s="2"/>
      <c r="H22" s="2"/>
      <c r="I22" s="2"/>
      <c r="J22" s="2"/>
    </row>
    <row r="23" spans="2:20" x14ac:dyDescent="0.3">
      <c r="B23" s="3" t="s">
        <v>18</v>
      </c>
      <c r="C23" s="2"/>
      <c r="D23" s="2"/>
      <c r="E23" s="2"/>
      <c r="F23" s="2"/>
      <c r="G23" s="2"/>
      <c r="H23" s="2"/>
      <c r="I23" s="2"/>
      <c r="J23" s="2"/>
    </row>
    <row r="24" spans="2:20" x14ac:dyDescent="0.3">
      <c r="B24" s="17" t="s">
        <v>19</v>
      </c>
      <c r="C24" s="18"/>
      <c r="D24" s="45"/>
      <c r="E24" s="46"/>
      <c r="F24" s="46"/>
      <c r="G24" s="46"/>
      <c r="H24" s="46"/>
      <c r="I24" s="46"/>
      <c r="J24" s="47"/>
      <c r="L24" s="48" t="s">
        <v>20</v>
      </c>
      <c r="M24" s="49"/>
      <c r="N24" s="45"/>
      <c r="O24" s="46"/>
      <c r="P24" s="46"/>
      <c r="Q24" s="46"/>
      <c r="R24" s="46"/>
      <c r="S24" s="46"/>
      <c r="T24" s="47"/>
    </row>
    <row r="25" spans="2:20" x14ac:dyDescent="0.3">
      <c r="B25" s="17" t="s">
        <v>21</v>
      </c>
      <c r="C25" s="18"/>
      <c r="D25" s="45"/>
      <c r="E25" s="46"/>
      <c r="F25" s="46"/>
      <c r="G25" s="46"/>
      <c r="H25" s="46"/>
      <c r="I25" s="46"/>
      <c r="J25" s="47"/>
      <c r="L25" s="48" t="s">
        <v>22</v>
      </c>
      <c r="M25" s="49"/>
      <c r="N25" s="45"/>
      <c r="O25" s="46"/>
      <c r="P25" s="46"/>
      <c r="Q25" s="46"/>
      <c r="R25" s="46"/>
      <c r="S25" s="46"/>
      <c r="T25" s="47"/>
    </row>
    <row r="26" spans="2:2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20" x14ac:dyDescent="0.3">
      <c r="B27" s="3" t="s">
        <v>23</v>
      </c>
      <c r="C27" s="2"/>
      <c r="D27" s="2"/>
      <c r="E27" s="2"/>
      <c r="F27" s="2"/>
      <c r="G27" s="2"/>
      <c r="H27" s="2"/>
      <c r="I27" s="2"/>
      <c r="J27" s="2"/>
    </row>
    <row r="28" spans="2:20" x14ac:dyDescent="0.3">
      <c r="B28" s="16" t="s">
        <v>19</v>
      </c>
      <c r="C28" s="16"/>
      <c r="D28" s="45" t="s">
        <v>4</v>
      </c>
      <c r="E28" s="46"/>
      <c r="F28" s="46"/>
      <c r="G28" s="46"/>
      <c r="H28" s="46"/>
      <c r="I28" s="46"/>
      <c r="J28" s="47"/>
      <c r="L28" s="48" t="s">
        <v>20</v>
      </c>
      <c r="M28" s="53"/>
      <c r="N28" s="45" t="e">
        <f>_xlfn.XLOOKUP(D28,#REF!,#REF!, "")</f>
        <v>#REF!</v>
      </c>
      <c r="O28" s="46"/>
      <c r="P28" s="46"/>
      <c r="Q28" s="46"/>
      <c r="R28" s="46"/>
      <c r="S28" s="46"/>
      <c r="T28" s="47"/>
    </row>
    <row r="29" spans="2:20" x14ac:dyDescent="0.3">
      <c r="B29" s="16" t="s">
        <v>21</v>
      </c>
      <c r="C29" s="16"/>
      <c r="D29" s="45" t="e">
        <f>_xlfn.XLOOKUP(D28,#REF!,#REF!, "")</f>
        <v>#REF!</v>
      </c>
      <c r="E29" s="46"/>
      <c r="F29" s="46"/>
      <c r="G29" s="46"/>
      <c r="H29" s="46"/>
      <c r="I29" s="46"/>
      <c r="J29" s="47"/>
      <c r="L29" s="48" t="s">
        <v>22</v>
      </c>
      <c r="M29" s="53"/>
      <c r="N29" s="45" t="e">
        <f>_xlfn.XLOOKUP(D28,#REF!,#REF!, "")</f>
        <v>#REF!</v>
      </c>
      <c r="O29" s="46"/>
      <c r="P29" s="46"/>
      <c r="Q29" s="46"/>
      <c r="R29" s="46"/>
      <c r="S29" s="46"/>
      <c r="T29" s="47"/>
    </row>
    <row r="30" spans="2:2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20" ht="18" x14ac:dyDescent="0.35">
      <c r="B31" s="1" t="s">
        <v>24</v>
      </c>
      <c r="C31" s="2"/>
      <c r="D31" s="2"/>
      <c r="E31" s="2"/>
      <c r="F31" s="2"/>
      <c r="G31" s="2"/>
      <c r="H31" s="2"/>
      <c r="I31" s="2"/>
      <c r="J31" s="2"/>
    </row>
    <row r="32" spans="2:20" x14ac:dyDescent="0.3">
      <c r="B32" s="48" t="s">
        <v>25</v>
      </c>
      <c r="C32" s="49"/>
      <c r="D32" s="49"/>
      <c r="E32" s="49"/>
      <c r="F32" s="49"/>
      <c r="G32" s="43" t="s">
        <v>26</v>
      </c>
      <c r="H32" s="43"/>
      <c r="I32" s="43"/>
      <c r="J32" s="43"/>
      <c r="K32" s="20"/>
      <c r="L32" s="50" t="s">
        <v>27</v>
      </c>
      <c r="M32" s="50"/>
      <c r="N32" s="50"/>
      <c r="O32" s="50"/>
      <c r="P32" s="50"/>
      <c r="Q32" s="51" t="s">
        <v>28</v>
      </c>
      <c r="R32" s="51"/>
      <c r="S32" s="51"/>
      <c r="T32" s="51"/>
    </row>
    <row r="33" spans="2:20" x14ac:dyDescent="0.3">
      <c r="B33" s="48" t="s">
        <v>29</v>
      </c>
      <c r="C33" s="49"/>
      <c r="D33" s="49"/>
      <c r="E33" s="49"/>
      <c r="F33" s="49"/>
      <c r="G33" s="43" t="s">
        <v>30</v>
      </c>
      <c r="H33" s="43"/>
      <c r="I33" s="43"/>
      <c r="J33" s="43"/>
      <c r="L33" s="52" t="str" cm="1">
        <f t="array" ref="L33">_xlfn.IFS(
AND(G32&lt;&gt;"PRODUÇÃO",G33="NÃO"),"ALERTA: Risco de perda de dados sem o backup!",
AND(G32="PRODUÇÃO",G33="NÃO"),"ABORTAR GMUD!!!",
G33="SIM","Print de evidência do backup na página de anexos.",
G33="",""
)</f>
        <v>Print de evidência do backup na página de anexos.</v>
      </c>
      <c r="M33" s="52"/>
      <c r="N33" s="52"/>
      <c r="O33" s="52"/>
      <c r="P33" s="52"/>
      <c r="Q33" s="52"/>
      <c r="R33" s="52"/>
      <c r="S33" s="52"/>
      <c r="T33" s="52"/>
    </row>
    <row r="34" spans="2:20" x14ac:dyDescent="0.3">
      <c r="B34" s="22" t="s">
        <v>31</v>
      </c>
      <c r="C34" s="23"/>
      <c r="D34" s="23"/>
      <c r="E34" s="23"/>
      <c r="F34" s="23"/>
      <c r="G34" s="22"/>
      <c r="H34" s="23"/>
      <c r="I34" s="23"/>
      <c r="J34" s="23"/>
    </row>
    <row r="35" spans="2:20" x14ac:dyDescent="0.3">
      <c r="B35" s="59" t="s">
        <v>32</v>
      </c>
      <c r="C35" s="60"/>
      <c r="D35" s="60"/>
      <c r="E35" s="60"/>
      <c r="F35" s="60"/>
      <c r="G35" s="60"/>
      <c r="H35" s="60"/>
      <c r="I35" s="43" t="s">
        <v>30</v>
      </c>
      <c r="J35" s="43"/>
      <c r="L35" s="52" t="str" cm="1">
        <f t="array" ref="L35">_xlfn.IFS(
I35="NÃO","ALERTA: necessário ter acesso à console Appmgr!",
I35="SIM","",
I35="",""
)</f>
        <v/>
      </c>
      <c r="M35" s="52"/>
      <c r="N35" s="52"/>
      <c r="O35" s="52"/>
      <c r="P35" s="52"/>
      <c r="Q35" s="52"/>
      <c r="R35" s="52"/>
      <c r="S35" s="52"/>
      <c r="T35" s="52"/>
    </row>
    <row r="36" spans="2:20" x14ac:dyDescent="0.3">
      <c r="B36" s="61" t="s">
        <v>34</v>
      </c>
      <c r="C36" s="62"/>
      <c r="D36" s="62"/>
      <c r="E36" s="62"/>
      <c r="F36" s="62"/>
      <c r="G36" s="62"/>
      <c r="H36" s="62"/>
      <c r="I36" s="43" t="s">
        <v>30</v>
      </c>
      <c r="J36" s="43"/>
      <c r="L36" s="52" t="str" cm="1">
        <f t="array" ref="L36">_xlfn.IFS(
I36="NÃO","",
I36="SIM","ALERTA: Evidenciar configurações dos hosts",
I36="",""
)</f>
        <v>ALERTA: Evidenciar configurações dos hosts</v>
      </c>
      <c r="M36" s="52"/>
      <c r="N36" s="52"/>
      <c r="O36" s="52"/>
      <c r="P36" s="52"/>
      <c r="Q36" s="52"/>
      <c r="R36" s="52"/>
      <c r="S36" s="52"/>
      <c r="T36" s="52"/>
    </row>
    <row r="37" spans="2:20" ht="15" customHeight="1" x14ac:dyDescent="0.3"/>
    <row r="39" spans="2:20" ht="18" x14ac:dyDescent="0.35">
      <c r="B39" s="1" t="s">
        <v>35</v>
      </c>
      <c r="C39" s="13"/>
      <c r="D39" s="13"/>
      <c r="E39" s="13"/>
      <c r="F39" s="13"/>
      <c r="L39" s="14"/>
      <c r="M39" s="14"/>
      <c r="N39" s="14"/>
      <c r="O39" s="14"/>
      <c r="P39" s="14"/>
      <c r="Q39" s="14"/>
      <c r="R39" s="14"/>
      <c r="S39" s="14"/>
      <c r="T39" s="14"/>
    </row>
    <row r="40" spans="2:20" x14ac:dyDescent="0.3">
      <c r="B40" s="54" t="str">
        <f>IF(
OR(L33="Print de evidência do backup na página de anexos.",L33="ALERTA: Risco de perda de dados sem o backup!"),"Data de ínicio:",""
)</f>
        <v>Data de ínicio:</v>
      </c>
      <c r="C40" s="54"/>
      <c r="D40" s="54"/>
      <c r="E40" s="54"/>
      <c r="F40" s="54"/>
      <c r="G40" s="54"/>
      <c r="H40" s="54"/>
      <c r="I40" s="54"/>
      <c r="J40" s="54"/>
      <c r="K40" s="54"/>
      <c r="L40" s="55" t="s">
        <v>36</v>
      </c>
      <c r="M40" s="55"/>
      <c r="N40" s="55"/>
      <c r="O40" s="55"/>
      <c r="P40" s="55"/>
      <c r="Q40" s="55"/>
      <c r="R40" s="55"/>
      <c r="S40" s="55"/>
      <c r="T40" s="55"/>
    </row>
    <row r="41" spans="2:20" x14ac:dyDescent="0.3">
      <c r="B41" s="54" t="str">
        <f>IF(
OR(L33="Print de evidência do backup na página de anexos.",L33="ALERTA: Risco de perda de dados sem o backup!"),"Hora de ínicio:",""
)</f>
        <v>Hora de ínicio:</v>
      </c>
      <c r="C41" s="54"/>
      <c r="D41" s="54"/>
      <c r="E41" s="54"/>
      <c r="F41" s="54"/>
      <c r="G41" s="54"/>
      <c r="H41" s="54"/>
      <c r="I41" s="54"/>
      <c r="J41" s="54"/>
      <c r="K41" s="54"/>
      <c r="L41" s="56">
        <v>0.5625</v>
      </c>
      <c r="M41" s="56"/>
      <c r="N41" s="56"/>
      <c r="O41" s="56"/>
      <c r="P41" s="56"/>
      <c r="Q41" s="56"/>
      <c r="R41" s="56"/>
      <c r="S41" s="56"/>
      <c r="T41" s="56"/>
    </row>
    <row r="42" spans="2:20" x14ac:dyDescent="0.3">
      <c r="B42" s="54" t="str">
        <f>IF(L41&lt;&gt;"","Tempo total de execução:","")</f>
        <v>Tempo total de execução:</v>
      </c>
      <c r="C42" s="54"/>
      <c r="D42" s="54"/>
      <c r="E42" s="54"/>
      <c r="F42" s="54"/>
      <c r="G42" s="54"/>
      <c r="H42" s="54"/>
      <c r="I42" s="54"/>
      <c r="J42" s="54"/>
      <c r="K42" s="54"/>
      <c r="L42" s="57">
        <v>4.1666666666666664E-2</v>
      </c>
      <c r="M42" s="58"/>
      <c r="N42" s="58"/>
      <c r="O42" s="58"/>
      <c r="P42" s="58"/>
      <c r="Q42" s="58"/>
      <c r="R42" s="58"/>
      <c r="S42" s="58"/>
      <c r="T42" s="58"/>
    </row>
    <row r="43" spans="2:20" x14ac:dyDescent="0.3">
      <c r="B43" s="54" t="str">
        <f>IF(L42&lt;&gt;"","Tempo total de paralização:","")</f>
        <v>Tempo total de paralização:</v>
      </c>
      <c r="C43" s="54"/>
      <c r="D43" s="54"/>
      <c r="E43" s="54"/>
      <c r="F43" s="54"/>
      <c r="G43" s="54"/>
      <c r="H43" s="54"/>
      <c r="I43" s="54"/>
      <c r="J43" s="54"/>
      <c r="K43" s="54"/>
      <c r="L43" s="63">
        <v>4.1666666666666664E-2</v>
      </c>
      <c r="M43" s="64"/>
      <c r="N43" s="64"/>
      <c r="O43" s="64"/>
      <c r="P43" s="64"/>
      <c r="Q43" s="64"/>
      <c r="R43" s="64"/>
      <c r="S43" s="64"/>
      <c r="T43" s="65"/>
    </row>
    <row r="44" spans="2:20" x14ac:dyDescent="0.3">
      <c r="B44" s="54" t="str">
        <f>IF(L43&lt;&gt;"","Tempo total para testes","")</f>
        <v>Tempo total para testes</v>
      </c>
      <c r="C44" s="54"/>
      <c r="D44" s="54"/>
      <c r="E44" s="54"/>
      <c r="F44" s="54"/>
      <c r="G44" s="54"/>
      <c r="H44" s="54"/>
      <c r="I44" s="54"/>
      <c r="J44" s="54"/>
      <c r="K44" s="54"/>
      <c r="L44" s="63">
        <v>2.0833333333333332E-2</v>
      </c>
      <c r="M44" s="64"/>
      <c r="N44" s="64"/>
      <c r="O44" s="64"/>
      <c r="P44" s="64"/>
      <c r="Q44" s="64"/>
      <c r="R44" s="64"/>
      <c r="S44" s="64"/>
      <c r="T44" s="65"/>
    </row>
    <row r="45" spans="2:20" x14ac:dyDescent="0.3">
      <c r="B45" s="54" t="str">
        <f>IF(L44&lt;&gt;"","Tempo total para tentativa de correções:","")</f>
        <v>Tempo total para tentativa de correções:</v>
      </c>
      <c r="C45" s="54"/>
      <c r="D45" s="54"/>
      <c r="E45" s="54"/>
      <c r="F45" s="54"/>
      <c r="G45" s="54"/>
      <c r="H45" s="54"/>
      <c r="I45" s="54"/>
      <c r="J45" s="54"/>
      <c r="K45" s="54"/>
      <c r="L45" s="63">
        <v>2.0833333333333332E-2</v>
      </c>
      <c r="M45" s="64"/>
      <c r="N45" s="64"/>
      <c r="O45" s="64"/>
      <c r="P45" s="64"/>
      <c r="Q45" s="64"/>
      <c r="R45" s="64"/>
      <c r="S45" s="64"/>
      <c r="T45" s="65"/>
    </row>
    <row r="46" spans="2:20" x14ac:dyDescent="0.3">
      <c r="B46" s="54" t="str">
        <f>IF(L45&lt;&gt;"","Tempo total para plano de volta:","")</f>
        <v>Tempo total para plano de volta:</v>
      </c>
      <c r="C46" s="54"/>
      <c r="D46" s="54"/>
      <c r="E46" s="54"/>
      <c r="F46" s="54"/>
      <c r="G46" s="54"/>
      <c r="H46" s="54"/>
      <c r="I46" s="54"/>
      <c r="J46" s="54"/>
      <c r="K46" s="54"/>
      <c r="L46" s="63">
        <v>4.1666666666666664E-2</v>
      </c>
      <c r="M46" s="64"/>
      <c r="N46" s="64"/>
      <c r="O46" s="64"/>
      <c r="P46" s="64"/>
      <c r="Q46" s="64"/>
      <c r="R46" s="64"/>
      <c r="S46" s="64"/>
      <c r="T46" s="65"/>
    </row>
    <row r="47" spans="2:20" x14ac:dyDescent="0.3">
      <c r="B47" s="66"/>
      <c r="C47" s="67"/>
      <c r="D47" s="67"/>
      <c r="E47" s="68"/>
      <c r="F47" s="69"/>
      <c r="G47" s="70"/>
      <c r="H47" s="70"/>
      <c r="I47" s="70"/>
      <c r="J47" s="71"/>
    </row>
    <row r="48" spans="2:20" ht="18" x14ac:dyDescent="0.35">
      <c r="B48" s="4" t="s">
        <v>37</v>
      </c>
      <c r="C48" s="7"/>
      <c r="D48" s="7"/>
      <c r="E48" s="8"/>
      <c r="F48" s="9"/>
      <c r="G48" s="10"/>
      <c r="H48" s="10"/>
      <c r="I48" s="10"/>
      <c r="J48" s="11"/>
    </row>
    <row r="49" spans="2:20" s="19" customFormat="1" x14ac:dyDescent="0.3">
      <c r="B49" s="72" t="s">
        <v>38</v>
      </c>
      <c r="C49" s="72"/>
      <c r="D49" s="72"/>
      <c r="E49" s="72"/>
      <c r="F49" s="72"/>
      <c r="G49" s="72"/>
      <c r="H49" s="72"/>
      <c r="I49" s="73" t="s">
        <v>39</v>
      </c>
      <c r="J49" s="73"/>
      <c r="K49" s="73"/>
      <c r="L49" s="73" t="s">
        <v>40</v>
      </c>
      <c r="M49" s="73"/>
      <c r="N49" s="72" t="s">
        <v>41</v>
      </c>
      <c r="O49" s="72"/>
      <c r="P49" s="72"/>
      <c r="Q49" s="72"/>
      <c r="R49" s="72"/>
      <c r="S49" s="72"/>
      <c r="T49" s="72"/>
    </row>
    <row r="50" spans="2:20" s="19" customFormat="1" ht="15" customHeight="1" x14ac:dyDescent="0.3">
      <c r="B50" s="74" t="s">
        <v>42</v>
      </c>
      <c r="C50" s="74"/>
      <c r="D50" s="74"/>
      <c r="E50" s="74"/>
      <c r="F50" s="74"/>
      <c r="G50" s="74"/>
      <c r="H50" s="74"/>
      <c r="I50" s="75" t="s">
        <v>43</v>
      </c>
      <c r="J50" s="75"/>
      <c r="K50" s="75"/>
      <c r="L50" s="75" t="s">
        <v>44</v>
      </c>
      <c r="M50" s="75"/>
      <c r="N50" s="74" t="s">
        <v>45</v>
      </c>
      <c r="O50" s="74"/>
      <c r="P50" s="74"/>
      <c r="Q50" s="74"/>
      <c r="R50" s="74"/>
      <c r="S50" s="74"/>
      <c r="T50" s="74"/>
    </row>
    <row r="51" spans="2:20" s="19" customFormat="1" x14ac:dyDescent="0.3">
      <c r="B51" s="74" t="s">
        <v>284</v>
      </c>
      <c r="C51" s="74"/>
      <c r="D51" s="74"/>
      <c r="E51" s="74"/>
      <c r="F51" s="74"/>
      <c r="G51" s="74"/>
      <c r="H51" s="74"/>
      <c r="I51" s="75" t="s">
        <v>43</v>
      </c>
      <c r="J51" s="75"/>
      <c r="K51" s="75"/>
      <c r="L51" s="75" t="s">
        <v>285</v>
      </c>
      <c r="M51" s="75"/>
      <c r="N51" s="74" t="s">
        <v>286</v>
      </c>
      <c r="O51" s="74"/>
      <c r="P51" s="74"/>
      <c r="Q51" s="74"/>
      <c r="R51" s="74"/>
      <c r="S51" s="74"/>
      <c r="T51" s="74"/>
    </row>
    <row r="52" spans="2:20" s="19" customFormat="1" x14ac:dyDescent="0.3">
      <c r="B52" s="74" t="s">
        <v>287</v>
      </c>
      <c r="C52" s="74"/>
      <c r="D52" s="74"/>
      <c r="E52" s="74"/>
      <c r="F52" s="74"/>
      <c r="G52" s="74"/>
      <c r="H52" s="74"/>
      <c r="I52" s="75" t="s">
        <v>43</v>
      </c>
      <c r="J52" s="75"/>
      <c r="K52" s="75"/>
      <c r="L52" s="75" t="s">
        <v>44</v>
      </c>
      <c r="M52" s="75"/>
      <c r="N52" s="74" t="s">
        <v>286</v>
      </c>
      <c r="O52" s="74"/>
      <c r="P52" s="74"/>
      <c r="Q52" s="74"/>
      <c r="R52" s="74"/>
      <c r="S52" s="74"/>
      <c r="T52" s="74"/>
    </row>
    <row r="53" spans="2:20" s="19" customFormat="1" x14ac:dyDescent="0.3">
      <c r="B53" s="74" t="s">
        <v>288</v>
      </c>
      <c r="C53" s="74"/>
      <c r="D53" s="74"/>
      <c r="E53" s="74"/>
      <c r="F53" s="74"/>
      <c r="G53" s="74"/>
      <c r="H53" s="74"/>
      <c r="I53" s="75" t="s">
        <v>43</v>
      </c>
      <c r="J53" s="75"/>
      <c r="K53" s="75"/>
      <c r="L53" s="75" t="s">
        <v>285</v>
      </c>
      <c r="M53" s="75"/>
      <c r="N53" s="74" t="s">
        <v>286</v>
      </c>
      <c r="O53" s="74"/>
      <c r="P53" s="74"/>
      <c r="Q53" s="74"/>
      <c r="R53" s="74"/>
      <c r="S53" s="74"/>
      <c r="T53" s="74"/>
    </row>
    <row r="54" spans="2:20" s="19" customFormat="1" x14ac:dyDescent="0.3">
      <c r="B54" s="74" t="s">
        <v>289</v>
      </c>
      <c r="C54" s="74"/>
      <c r="D54" s="74"/>
      <c r="E54" s="74"/>
      <c r="F54" s="74"/>
      <c r="G54" s="74"/>
      <c r="H54" s="74"/>
      <c r="I54" s="75" t="s">
        <v>43</v>
      </c>
      <c r="J54" s="75"/>
      <c r="K54" s="75"/>
      <c r="L54" s="75" t="s">
        <v>44</v>
      </c>
      <c r="M54" s="75"/>
      <c r="N54" s="74" t="s">
        <v>286</v>
      </c>
      <c r="O54" s="74"/>
      <c r="P54" s="74"/>
      <c r="Q54" s="74"/>
      <c r="R54" s="74"/>
      <c r="S54" s="74"/>
      <c r="T54" s="74"/>
    </row>
    <row r="55" spans="2:20" s="19" customFormat="1" x14ac:dyDescent="0.3">
      <c r="B55" s="74"/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4"/>
      <c r="O55" s="74"/>
      <c r="P55" s="74"/>
      <c r="Q55" s="74"/>
      <c r="R55" s="74"/>
      <c r="S55" s="74"/>
      <c r="T55" s="74"/>
    </row>
    <row r="56" spans="2:20" s="19" customFormat="1" x14ac:dyDescent="0.3">
      <c r="B56" s="74"/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4"/>
      <c r="O56" s="74"/>
      <c r="P56" s="74"/>
      <c r="Q56" s="74"/>
      <c r="R56" s="74"/>
      <c r="S56" s="74"/>
      <c r="T56" s="74"/>
    </row>
    <row r="60" spans="2:20" ht="18" x14ac:dyDescent="0.35">
      <c r="B60" s="4" t="s">
        <v>46</v>
      </c>
    </row>
    <row r="61" spans="2:20" s="19" customFormat="1" x14ac:dyDescent="0.3">
      <c r="B61" s="72" t="s">
        <v>47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3" t="s">
        <v>48</v>
      </c>
      <c r="N61" s="73"/>
      <c r="O61" s="73"/>
      <c r="P61" s="73" t="s">
        <v>49</v>
      </c>
      <c r="Q61" s="73"/>
      <c r="R61" s="73"/>
      <c r="S61" s="73"/>
      <c r="T61" s="73"/>
    </row>
    <row r="62" spans="2:20" s="19" customFormat="1" ht="15" customHeight="1" x14ac:dyDescent="0.3">
      <c r="B62" s="76" t="s">
        <v>290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7" t="s">
        <v>51</v>
      </c>
      <c r="N62" s="77"/>
      <c r="O62" s="77"/>
      <c r="P62" s="77" t="str">
        <f t="shared" ref="P62:P63" si="0">$D$28</f>
        <v>Murilo Moraes</v>
      </c>
      <c r="Q62" s="77"/>
      <c r="R62" s="77"/>
      <c r="S62" s="77"/>
      <c r="T62" s="77"/>
    </row>
    <row r="63" spans="2:20" s="19" customFormat="1" ht="15" customHeight="1" x14ac:dyDescent="0.3">
      <c r="B63" s="76" t="s">
        <v>291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7" t="s">
        <v>51</v>
      </c>
      <c r="N63" s="77"/>
      <c r="O63" s="77"/>
      <c r="P63" s="77" t="str">
        <f t="shared" si="0"/>
        <v>Murilo Moraes</v>
      </c>
      <c r="Q63" s="77"/>
      <c r="R63" s="77"/>
      <c r="S63" s="77"/>
      <c r="T63" s="77"/>
    </row>
    <row r="64" spans="2:20" s="19" customFormat="1" x14ac:dyDescent="0.3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7"/>
      <c r="N64" s="77"/>
      <c r="O64" s="77"/>
      <c r="P64" s="77"/>
      <c r="Q64" s="77"/>
      <c r="R64" s="77"/>
      <c r="S64" s="77"/>
      <c r="T64" s="77"/>
    </row>
    <row r="65" spans="2:20" s="19" customFormat="1" x14ac:dyDescent="0.3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7"/>
      <c r="N65" s="77"/>
      <c r="O65" s="77"/>
      <c r="P65" s="77"/>
      <c r="Q65" s="77"/>
      <c r="R65" s="77"/>
      <c r="S65" s="77"/>
      <c r="T65" s="77"/>
    </row>
    <row r="66" spans="2:20" x14ac:dyDescent="0.3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7"/>
      <c r="N66" s="77"/>
      <c r="O66" s="77"/>
      <c r="P66" s="78"/>
      <c r="Q66" s="78"/>
      <c r="R66" s="78"/>
      <c r="S66" s="78"/>
      <c r="T66" s="78"/>
    </row>
    <row r="67" spans="2:20" x14ac:dyDescent="0.3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7"/>
      <c r="N67" s="77"/>
      <c r="O67" s="77"/>
      <c r="P67" s="78"/>
      <c r="Q67" s="78"/>
      <c r="R67" s="78"/>
      <c r="S67" s="78"/>
      <c r="T67" s="78"/>
    </row>
    <row r="68" spans="2:20" x14ac:dyDescent="0.3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7"/>
      <c r="N68" s="77"/>
      <c r="O68" s="77"/>
      <c r="P68" s="78"/>
      <c r="Q68" s="78"/>
      <c r="R68" s="78"/>
      <c r="S68" s="78"/>
      <c r="T68" s="78"/>
    </row>
    <row r="69" spans="2:20" x14ac:dyDescent="0.3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7"/>
      <c r="N69" s="77"/>
      <c r="O69" s="77"/>
      <c r="P69" s="78"/>
      <c r="Q69" s="78"/>
      <c r="R69" s="78"/>
      <c r="S69" s="78"/>
      <c r="T69" s="78"/>
    </row>
    <row r="71" spans="2:20" ht="18" x14ac:dyDescent="0.35">
      <c r="B71" s="4" t="s">
        <v>54</v>
      </c>
    </row>
    <row r="72" spans="2:20" ht="15" customHeight="1" x14ac:dyDescent="0.3">
      <c r="B72" s="83" t="s">
        <v>55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2:20" x14ac:dyDescent="0.3">
      <c r="B73" s="84" t="s">
        <v>47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5" t="s">
        <v>56</v>
      </c>
      <c r="N73" s="85"/>
      <c r="O73" s="85"/>
      <c r="P73" s="86" t="s">
        <v>49</v>
      </c>
      <c r="Q73" s="87"/>
      <c r="R73" s="87"/>
      <c r="S73" s="87"/>
      <c r="T73" s="88"/>
    </row>
    <row r="74" spans="2:20" s="19" customFormat="1" ht="15" customHeight="1" x14ac:dyDescent="0.3">
      <c r="B74" s="89" t="s">
        <v>292</v>
      </c>
      <c r="C74" s="90"/>
      <c r="D74" s="90"/>
      <c r="E74" s="90"/>
      <c r="F74" s="90"/>
      <c r="G74" s="90"/>
      <c r="H74" s="90"/>
      <c r="I74" s="90"/>
      <c r="J74" s="90"/>
      <c r="K74" s="90"/>
      <c r="L74" s="91"/>
      <c r="M74" s="79" t="s">
        <v>33</v>
      </c>
      <c r="N74" s="79"/>
      <c r="O74" s="79"/>
      <c r="P74" s="92" t="str">
        <f t="shared" ref="P74:P77" si="1">$D$28</f>
        <v>Murilo Moraes</v>
      </c>
      <c r="Q74" s="93"/>
      <c r="R74" s="93"/>
      <c r="S74" s="93"/>
      <c r="T74" s="94"/>
    </row>
    <row r="75" spans="2:20" s="15" customFormat="1" x14ac:dyDescent="0.3">
      <c r="B75" s="74" t="s">
        <v>293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9" t="s">
        <v>33</v>
      </c>
      <c r="N75" s="79"/>
      <c r="O75" s="79"/>
      <c r="P75" s="92" t="str">
        <f t="shared" si="1"/>
        <v>Murilo Moraes</v>
      </c>
      <c r="Q75" s="93"/>
      <c r="R75" s="93"/>
      <c r="S75" s="93"/>
      <c r="T75" s="94"/>
    </row>
    <row r="76" spans="2:20" s="15" customFormat="1" x14ac:dyDescent="0.3">
      <c r="B76" s="74" t="s">
        <v>294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9" t="s">
        <v>33</v>
      </c>
      <c r="N76" s="79"/>
      <c r="O76" s="79"/>
      <c r="P76" s="92" t="str">
        <f t="shared" si="1"/>
        <v>Murilo Moraes</v>
      </c>
      <c r="Q76" s="93"/>
      <c r="R76" s="93"/>
      <c r="S76" s="93"/>
      <c r="T76" s="94"/>
    </row>
    <row r="77" spans="2:20" s="15" customFormat="1" x14ac:dyDescent="0.3">
      <c r="B77" s="74" t="s">
        <v>295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9" t="s">
        <v>30</v>
      </c>
      <c r="N77" s="79"/>
      <c r="O77" s="79"/>
      <c r="P77" s="92" t="str">
        <f t="shared" si="1"/>
        <v>Murilo Moraes</v>
      </c>
      <c r="Q77" s="93"/>
      <c r="R77" s="93"/>
      <c r="S77" s="93"/>
      <c r="T77" s="94"/>
    </row>
    <row r="78" spans="2:20" s="19" customFormat="1" x14ac:dyDescent="0.3">
      <c r="B78" s="76" t="s">
        <v>296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9" t="s">
        <v>33</v>
      </c>
      <c r="N78" s="79"/>
      <c r="O78" s="79"/>
      <c r="P78" s="92">
        <f>$D$24</f>
        <v>0</v>
      </c>
      <c r="Q78" s="93"/>
      <c r="R78" s="93"/>
      <c r="S78" s="93"/>
      <c r="T78" s="94"/>
    </row>
    <row r="79" spans="2:20" s="19" customFormat="1" x14ac:dyDescent="0.3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9"/>
      <c r="N79" s="79"/>
      <c r="O79" s="79"/>
      <c r="P79" s="92"/>
      <c r="Q79" s="93"/>
      <c r="R79" s="93"/>
      <c r="S79" s="93"/>
      <c r="T79" s="94"/>
    </row>
    <row r="80" spans="2:20" s="19" customFormat="1" x14ac:dyDescent="0.3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9"/>
      <c r="N80" s="79"/>
      <c r="O80" s="79"/>
      <c r="P80" s="92"/>
      <c r="Q80" s="93"/>
      <c r="R80" s="93"/>
      <c r="S80" s="93"/>
      <c r="T80" s="94"/>
    </row>
    <row r="81" spans="2:20" s="19" customFormat="1" x14ac:dyDescent="0.3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9"/>
      <c r="N81" s="79"/>
      <c r="O81" s="79"/>
      <c r="P81" s="92"/>
      <c r="Q81" s="93"/>
      <c r="R81" s="93"/>
      <c r="S81" s="93"/>
      <c r="T81" s="94"/>
    </row>
    <row r="82" spans="2:20" s="19" customFormat="1" x14ac:dyDescent="0.3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9"/>
      <c r="N82" s="79"/>
      <c r="O82" s="79"/>
      <c r="P82" s="92"/>
      <c r="Q82" s="93"/>
      <c r="R82" s="93"/>
      <c r="S82" s="93"/>
      <c r="T82" s="94"/>
    </row>
    <row r="83" spans="2:20" s="19" customFormat="1" x14ac:dyDescent="0.3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9"/>
      <c r="N83" s="79"/>
      <c r="O83" s="79"/>
      <c r="P83" s="92"/>
      <c r="Q83" s="93"/>
      <c r="R83" s="93"/>
      <c r="S83" s="93"/>
      <c r="T83" s="94"/>
    </row>
    <row r="84" spans="2:20" s="19" customFormat="1" x14ac:dyDescent="0.3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9"/>
      <c r="N84" s="79"/>
      <c r="O84" s="79"/>
      <c r="P84" s="92"/>
      <c r="Q84" s="93"/>
      <c r="R84" s="93"/>
      <c r="S84" s="93"/>
      <c r="T84" s="94"/>
    </row>
    <row r="86" spans="2:20" ht="18" x14ac:dyDescent="0.35">
      <c r="B86" s="4" t="s">
        <v>57</v>
      </c>
    </row>
    <row r="87" spans="2:20" x14ac:dyDescent="0.3">
      <c r="B87" s="83" t="s">
        <v>58</v>
      </c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2:20" x14ac:dyDescent="0.3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</row>
    <row r="89" spans="2:20" x14ac:dyDescent="0.3">
      <c r="B89" s="84" t="s">
        <v>47</v>
      </c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97" t="s">
        <v>59</v>
      </c>
      <c r="N89" s="97"/>
      <c r="O89" s="97"/>
      <c r="P89" s="86" t="s">
        <v>49</v>
      </c>
      <c r="Q89" s="87"/>
      <c r="R89" s="87"/>
      <c r="S89" s="87"/>
      <c r="T89" s="88"/>
    </row>
    <row r="90" spans="2:20" s="12" customFormat="1" ht="15" customHeight="1" x14ac:dyDescent="0.3">
      <c r="B90" s="74" t="s">
        <v>297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99">
        <v>6.9444444444444441E-3</v>
      </c>
      <c r="N90" s="77"/>
      <c r="O90" s="77"/>
      <c r="P90" s="92" t="str">
        <f t="shared" ref="P90:P91" si="2">$D$28</f>
        <v>Murilo Moraes</v>
      </c>
      <c r="Q90" s="93"/>
      <c r="R90" s="93"/>
      <c r="S90" s="93"/>
      <c r="T90" s="94"/>
    </row>
    <row r="91" spans="2:20" s="12" customFormat="1" ht="13.8" x14ac:dyDescent="0.3">
      <c r="B91" s="100" t="s">
        <v>298</v>
      </c>
      <c r="C91" s="101"/>
      <c r="D91" s="101"/>
      <c r="E91" s="101"/>
      <c r="F91" s="101"/>
      <c r="G91" s="101"/>
      <c r="H91" s="101"/>
      <c r="I91" s="101"/>
      <c r="J91" s="101"/>
      <c r="K91" s="101"/>
      <c r="L91" s="102"/>
      <c r="M91" s="99">
        <v>1.3888888888888888E-2</v>
      </c>
      <c r="N91" s="77"/>
      <c r="O91" s="77"/>
      <c r="P91" s="92" t="str">
        <f t="shared" si="2"/>
        <v>Murilo Moraes</v>
      </c>
      <c r="Q91" s="93"/>
      <c r="R91" s="93"/>
      <c r="S91" s="93"/>
      <c r="T91" s="94"/>
    </row>
    <row r="92" spans="2:20" s="12" customFormat="1" ht="13.8" x14ac:dyDescent="0.3">
      <c r="B92" s="74" t="s">
        <v>299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99">
        <v>2.0833333333333332E-2</v>
      </c>
      <c r="N92" s="77"/>
      <c r="O92" s="77"/>
      <c r="P92" s="92" t="s">
        <v>98</v>
      </c>
      <c r="Q92" s="93"/>
      <c r="R92" s="93"/>
      <c r="S92" s="93"/>
      <c r="T92" s="94"/>
    </row>
    <row r="93" spans="2:20" s="12" customFormat="1" ht="13.8" x14ac:dyDescent="0.3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99"/>
      <c r="N93" s="77"/>
      <c r="O93" s="77"/>
      <c r="P93" s="92"/>
      <c r="Q93" s="93"/>
      <c r="R93" s="93"/>
      <c r="S93" s="93"/>
      <c r="T93" s="94"/>
    </row>
    <row r="94" spans="2:20" s="12" customFormat="1" ht="13.8" x14ac:dyDescent="0.3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99"/>
      <c r="N94" s="77"/>
      <c r="O94" s="77"/>
      <c r="P94" s="92"/>
      <c r="Q94" s="93"/>
      <c r="R94" s="93"/>
      <c r="S94" s="93"/>
      <c r="T94" s="94"/>
    </row>
    <row r="95" spans="2:20" s="12" customFormat="1" ht="15" customHeight="1" x14ac:dyDescent="0.3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7"/>
      <c r="N95" s="77"/>
      <c r="O95" s="77"/>
      <c r="P95" s="92"/>
      <c r="Q95" s="93"/>
      <c r="R95" s="93"/>
      <c r="S95" s="93"/>
      <c r="T95" s="94"/>
    </row>
    <row r="96" spans="2:20" s="12" customFormat="1" ht="15" customHeight="1" x14ac:dyDescent="0.3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7"/>
      <c r="N96" s="77"/>
      <c r="O96" s="77"/>
      <c r="P96" s="92"/>
      <c r="Q96" s="93"/>
      <c r="R96" s="93"/>
      <c r="S96" s="93"/>
      <c r="T96" s="94"/>
    </row>
    <row r="97" spans="2:20" s="12" customFormat="1" ht="15" customHeight="1" x14ac:dyDescent="0.35">
      <c r="B97" s="4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2:20" ht="18" x14ac:dyDescent="0.35">
      <c r="B98" s="4" t="s">
        <v>61</v>
      </c>
    </row>
    <row r="99" spans="2:20" ht="15" customHeight="1" x14ac:dyDescent="0.3">
      <c r="B99" s="96" t="s">
        <v>62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</row>
    <row r="100" spans="2:20" x14ac:dyDescent="0.3">
      <c r="B100" s="84" t="s">
        <v>47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97" t="s">
        <v>59</v>
      </c>
      <c r="N100" s="97"/>
      <c r="O100" s="97"/>
      <c r="P100" s="86" t="s">
        <v>49</v>
      </c>
      <c r="Q100" s="87"/>
      <c r="R100" s="87"/>
      <c r="S100" s="87"/>
      <c r="T100" s="88"/>
    </row>
    <row r="101" spans="2:20" ht="15" customHeight="1" x14ac:dyDescent="0.3">
      <c r="B101" s="74" t="s">
        <v>300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99">
        <v>6.9444444444444441E-3</v>
      </c>
      <c r="N101" s="77"/>
      <c r="O101" s="77"/>
      <c r="P101" s="92" t="str">
        <f t="shared" ref="P101:P105" si="3">$D$28</f>
        <v>Murilo Moraes</v>
      </c>
      <c r="Q101" s="93"/>
      <c r="R101" s="93"/>
      <c r="S101" s="93"/>
      <c r="T101" s="94"/>
    </row>
    <row r="102" spans="2:20" s="12" customFormat="1" ht="15" customHeight="1" x14ac:dyDescent="0.3">
      <c r="B102" s="100" t="s">
        <v>301</v>
      </c>
      <c r="C102" s="101"/>
      <c r="D102" s="101"/>
      <c r="E102" s="101"/>
      <c r="F102" s="101"/>
      <c r="G102" s="101"/>
      <c r="H102" s="101"/>
      <c r="I102" s="101"/>
      <c r="J102" s="101"/>
      <c r="K102" s="101"/>
      <c r="L102" s="102"/>
      <c r="M102" s="99">
        <v>4.1666666666666664E-2</v>
      </c>
      <c r="N102" s="77"/>
      <c r="O102" s="77"/>
      <c r="P102" s="92" t="str">
        <f t="shared" si="3"/>
        <v>Murilo Moraes</v>
      </c>
      <c r="Q102" s="93"/>
      <c r="R102" s="93"/>
      <c r="S102" s="93"/>
      <c r="T102" s="94"/>
    </row>
    <row r="103" spans="2:20" s="12" customFormat="1" ht="13.8" x14ac:dyDescent="0.3">
      <c r="B103" s="74" t="s">
        <v>302</v>
      </c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99">
        <v>2.0833333333333332E-2</v>
      </c>
      <c r="N103" s="77"/>
      <c r="O103" s="77"/>
      <c r="P103" s="92" t="str">
        <f t="shared" si="3"/>
        <v>Murilo Moraes</v>
      </c>
      <c r="Q103" s="93"/>
      <c r="R103" s="93"/>
      <c r="S103" s="93"/>
      <c r="T103" s="94"/>
    </row>
    <row r="104" spans="2:20" s="12" customFormat="1" ht="13.8" x14ac:dyDescent="0.3">
      <c r="B104" s="74" t="s">
        <v>303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99">
        <v>2.0833333333333332E-2</v>
      </c>
      <c r="N104" s="77"/>
      <c r="O104" s="77"/>
      <c r="P104" s="92" t="str">
        <f t="shared" si="3"/>
        <v>Murilo Moraes</v>
      </c>
      <c r="Q104" s="93"/>
      <c r="R104" s="93"/>
      <c r="S104" s="93"/>
      <c r="T104" s="94"/>
    </row>
    <row r="105" spans="2:20" s="12" customFormat="1" ht="13.8" x14ac:dyDescent="0.3">
      <c r="B105" s="74" t="s">
        <v>304</v>
      </c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99">
        <v>4.1666666666666664E-2</v>
      </c>
      <c r="N105" s="77"/>
      <c r="O105" s="77"/>
      <c r="P105" s="92" t="str">
        <f t="shared" si="3"/>
        <v>Murilo Moraes</v>
      </c>
      <c r="Q105" s="93"/>
      <c r="R105" s="93"/>
      <c r="S105" s="93"/>
      <c r="T105" s="94"/>
    </row>
    <row r="106" spans="2:20" s="12" customFormat="1" ht="13.8" x14ac:dyDescent="0.3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99"/>
      <c r="N106" s="77"/>
      <c r="O106" s="77"/>
      <c r="P106" s="92"/>
      <c r="Q106" s="93"/>
      <c r="R106" s="93"/>
      <c r="S106" s="93"/>
      <c r="T106" s="94"/>
    </row>
    <row r="107" spans="2:20" s="12" customFormat="1" ht="13.8" x14ac:dyDescent="0.3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99"/>
      <c r="N107" s="77"/>
      <c r="O107" s="77"/>
      <c r="P107" s="92"/>
      <c r="Q107" s="93"/>
      <c r="R107" s="93"/>
      <c r="S107" s="93"/>
      <c r="T107" s="94"/>
    </row>
    <row r="108" spans="2:20" s="12" customFormat="1" ht="13.8" x14ac:dyDescent="0.3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99"/>
      <c r="N108" s="77"/>
      <c r="O108" s="77"/>
      <c r="P108" s="92"/>
      <c r="Q108" s="93"/>
      <c r="R108" s="93"/>
      <c r="S108" s="93"/>
      <c r="T108" s="94"/>
    </row>
    <row r="109" spans="2:20" x14ac:dyDescent="0.3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2:20" ht="15" customHeight="1" x14ac:dyDescent="0.35">
      <c r="B110" s="4" t="s">
        <v>64</v>
      </c>
      <c r="C110" s="5"/>
      <c r="D110" s="5"/>
      <c r="E110" s="5"/>
      <c r="F110" s="5"/>
      <c r="G110" s="5"/>
      <c r="H110" s="5"/>
      <c r="I110" s="5"/>
      <c r="J110" s="5"/>
    </row>
    <row r="111" spans="2:20" x14ac:dyDescent="0.3">
      <c r="B111" s="109" t="s">
        <v>0</v>
      </c>
      <c r="C111" s="110"/>
      <c r="D111" s="110"/>
      <c r="E111" s="110"/>
      <c r="F111" s="110"/>
      <c r="G111" s="110"/>
      <c r="H111" s="111"/>
      <c r="I111" s="109" t="s">
        <v>65</v>
      </c>
      <c r="J111" s="110"/>
      <c r="K111" s="110"/>
      <c r="L111" s="111"/>
      <c r="M111" s="86" t="s">
        <v>66</v>
      </c>
      <c r="N111" s="87"/>
      <c r="O111" s="87"/>
      <c r="P111" s="88"/>
      <c r="Q111" s="86" t="s">
        <v>1</v>
      </c>
      <c r="R111" s="87"/>
      <c r="S111" s="87"/>
      <c r="T111" s="88"/>
    </row>
    <row r="112" spans="2:20" x14ac:dyDescent="0.3">
      <c r="B112" s="103" t="str">
        <f>D28</f>
        <v>Murilo Moraes</v>
      </c>
      <c r="C112" s="104"/>
      <c r="D112" s="104"/>
      <c r="E112" s="104"/>
      <c r="F112" s="104"/>
      <c r="G112" s="104"/>
      <c r="H112" s="105"/>
      <c r="I112" s="103" t="s">
        <v>3</v>
      </c>
      <c r="J112" s="104"/>
      <c r="K112" s="104"/>
      <c r="L112" s="105"/>
      <c r="M112" s="106" t="s">
        <v>53</v>
      </c>
      <c r="N112" s="107"/>
      <c r="O112" s="107"/>
      <c r="P112" s="108"/>
      <c r="Q112" s="106" t="s">
        <v>5</v>
      </c>
      <c r="R112" s="107"/>
      <c r="S112" s="107"/>
      <c r="T112" s="108"/>
    </row>
    <row r="113" spans="2:20" ht="15" customHeight="1" x14ac:dyDescent="0.3">
      <c r="B113" s="103" t="s">
        <v>67</v>
      </c>
      <c r="C113" s="104"/>
      <c r="D113" s="104"/>
      <c r="E113" s="104"/>
      <c r="F113" s="104"/>
      <c r="G113" s="104"/>
      <c r="H113" s="105"/>
      <c r="I113" s="103" t="s">
        <v>68</v>
      </c>
      <c r="J113" s="104"/>
      <c r="K113" s="104"/>
      <c r="L113" s="105"/>
      <c r="M113" s="106" t="s">
        <v>53</v>
      </c>
      <c r="N113" s="107"/>
      <c r="O113" s="107"/>
      <c r="P113" s="108"/>
      <c r="Q113" s="106" t="s">
        <v>2</v>
      </c>
      <c r="R113" s="107"/>
      <c r="S113" s="107"/>
      <c r="T113" s="108"/>
    </row>
    <row r="114" spans="2:20" x14ac:dyDescent="0.3">
      <c r="B114" s="103" t="s">
        <v>69</v>
      </c>
      <c r="C114" s="104"/>
      <c r="D114" s="104"/>
      <c r="E114" s="104"/>
      <c r="F114" s="104"/>
      <c r="G114" s="104"/>
      <c r="H114" s="105"/>
      <c r="I114" s="103" t="s">
        <v>70</v>
      </c>
      <c r="J114" s="104"/>
      <c r="K114" s="104"/>
      <c r="L114" s="105"/>
      <c r="M114" s="106" t="s">
        <v>53</v>
      </c>
      <c r="N114" s="107"/>
      <c r="O114" s="107"/>
      <c r="P114" s="108"/>
      <c r="Q114" s="106" t="s">
        <v>5</v>
      </c>
      <c r="R114" s="107"/>
      <c r="S114" s="107"/>
      <c r="T114" s="108"/>
    </row>
    <row r="120" spans="2:20" ht="18" x14ac:dyDescent="0.35">
      <c r="B120" s="4" t="s">
        <v>71</v>
      </c>
      <c r="C120" s="5"/>
      <c r="D120" s="5"/>
      <c r="E120" s="5"/>
      <c r="F120" s="5"/>
      <c r="G120" s="5"/>
      <c r="H120" s="5"/>
      <c r="I120" s="5"/>
      <c r="J120" s="5"/>
    </row>
    <row r="121" spans="2:20" x14ac:dyDescent="0.3">
      <c r="B121" s="121" t="s">
        <v>72</v>
      </c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3"/>
    </row>
    <row r="122" spans="2:20" x14ac:dyDescent="0.3">
      <c r="B122" s="124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6"/>
    </row>
    <row r="123" spans="2:20" x14ac:dyDescent="0.3">
      <c r="B123" s="127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9"/>
    </row>
    <row r="124" spans="2:20" x14ac:dyDescent="0.3">
      <c r="B124" s="127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9"/>
    </row>
    <row r="125" spans="2:20" x14ac:dyDescent="0.3">
      <c r="B125" s="127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9"/>
    </row>
    <row r="126" spans="2:20" x14ac:dyDescent="0.3"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9"/>
    </row>
    <row r="127" spans="2:20" x14ac:dyDescent="0.3"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9"/>
    </row>
    <row r="128" spans="2:20" x14ac:dyDescent="0.3"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9"/>
    </row>
    <row r="129" spans="2:20" x14ac:dyDescent="0.3"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9"/>
    </row>
    <row r="130" spans="2:20" x14ac:dyDescent="0.3"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9"/>
    </row>
    <row r="131" spans="2:20" x14ac:dyDescent="0.3"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9"/>
    </row>
    <row r="132" spans="2:20" x14ac:dyDescent="0.3"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9"/>
    </row>
    <row r="133" spans="2:20" x14ac:dyDescent="0.3"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9"/>
    </row>
    <row r="134" spans="2:20" x14ac:dyDescent="0.3">
      <c r="B134" s="127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9"/>
    </row>
    <row r="135" spans="2:20" x14ac:dyDescent="0.3">
      <c r="B135" s="127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9"/>
    </row>
    <row r="136" spans="2:20" x14ac:dyDescent="0.3">
      <c r="B136" s="127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9"/>
    </row>
    <row r="137" spans="2:20" x14ac:dyDescent="0.3">
      <c r="B137" s="127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9"/>
    </row>
    <row r="138" spans="2:20" x14ac:dyDescent="0.3">
      <c r="B138" s="127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9"/>
    </row>
    <row r="139" spans="2:20" x14ac:dyDescent="0.3"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2:20" x14ac:dyDescent="0.3">
      <c r="B140" s="121" t="s">
        <v>73</v>
      </c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3"/>
    </row>
    <row r="141" spans="2:20" x14ac:dyDescent="0.3">
      <c r="B141" s="124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6"/>
    </row>
    <row r="142" spans="2:20" x14ac:dyDescent="0.3">
      <c r="B142" s="127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9"/>
    </row>
    <row r="143" spans="2:20" x14ac:dyDescent="0.3">
      <c r="B143" s="127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9"/>
    </row>
    <row r="144" spans="2:20" x14ac:dyDescent="0.3">
      <c r="B144" s="127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9"/>
    </row>
    <row r="145" spans="2:20" x14ac:dyDescent="0.3">
      <c r="B145" s="127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9"/>
    </row>
    <row r="146" spans="2:20" x14ac:dyDescent="0.3">
      <c r="B146" s="127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9"/>
    </row>
    <row r="147" spans="2:20" x14ac:dyDescent="0.3">
      <c r="B147" s="127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9"/>
    </row>
    <row r="148" spans="2:20" x14ac:dyDescent="0.3">
      <c r="B148" s="127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9"/>
    </row>
    <row r="149" spans="2:20" x14ac:dyDescent="0.3">
      <c r="B149" s="127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9"/>
    </row>
    <row r="150" spans="2:20" x14ac:dyDescent="0.3">
      <c r="B150" s="127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9"/>
    </row>
    <row r="151" spans="2:20" x14ac:dyDescent="0.3">
      <c r="B151" s="127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9"/>
    </row>
    <row r="152" spans="2:20" x14ac:dyDescent="0.3">
      <c r="B152" s="127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9"/>
    </row>
    <row r="153" spans="2:20" x14ac:dyDescent="0.3">
      <c r="B153" s="6"/>
      <c r="C153" s="6"/>
      <c r="D153" s="6"/>
      <c r="E153" s="6"/>
      <c r="F153" s="6"/>
      <c r="G153" s="6"/>
      <c r="H153" s="6"/>
      <c r="I153" s="6"/>
      <c r="J153" s="6"/>
    </row>
    <row r="154" spans="2:20" x14ac:dyDescent="0.3">
      <c r="B154" s="13"/>
    </row>
    <row r="155" spans="2:20" ht="18" x14ac:dyDescent="0.35">
      <c r="B155" s="4" t="s">
        <v>74</v>
      </c>
    </row>
    <row r="156" spans="2:20" x14ac:dyDescent="0.3">
      <c r="B156" s="109" t="s">
        <v>0</v>
      </c>
      <c r="C156" s="110"/>
      <c r="D156" s="110"/>
      <c r="E156" s="110"/>
      <c r="F156" s="110"/>
      <c r="G156" s="111"/>
      <c r="H156" s="109" t="s">
        <v>65</v>
      </c>
      <c r="I156" s="110"/>
      <c r="J156" s="110"/>
      <c r="K156" s="110"/>
      <c r="L156" s="111"/>
      <c r="M156" s="97" t="s">
        <v>66</v>
      </c>
      <c r="N156" s="97"/>
      <c r="O156" s="97"/>
      <c r="P156" s="97"/>
      <c r="Q156" s="86" t="s">
        <v>75</v>
      </c>
      <c r="R156" s="87"/>
      <c r="S156" s="87"/>
      <c r="T156" s="88"/>
    </row>
    <row r="157" spans="2:20" x14ac:dyDescent="0.3">
      <c r="B157" s="112" t="s">
        <v>67</v>
      </c>
      <c r="C157" s="113"/>
      <c r="D157" s="113"/>
      <c r="E157" s="113"/>
      <c r="F157" s="113"/>
      <c r="G157" s="114"/>
      <c r="H157" s="115" t="s">
        <v>76</v>
      </c>
      <c r="I157" s="116"/>
      <c r="J157" s="116"/>
      <c r="K157" s="116"/>
      <c r="L157" s="117"/>
      <c r="M157" s="118" t="s">
        <v>53</v>
      </c>
      <c r="N157" s="119"/>
      <c r="O157" s="119"/>
      <c r="P157" s="120"/>
      <c r="Q157" s="118"/>
      <c r="R157" s="119"/>
      <c r="S157" s="119"/>
      <c r="T157" s="120"/>
    </row>
  </sheetData>
  <sheetProtection selectLockedCells="1"/>
  <mergeCells count="243">
    <mergeCell ref="B15:J15"/>
    <mergeCell ref="K15:T15"/>
    <mergeCell ref="B10:F10"/>
    <mergeCell ref="G10:T10"/>
    <mergeCell ref="B11:F11"/>
    <mergeCell ref="G11:T11"/>
    <mergeCell ref="B12:F12"/>
    <mergeCell ref="G12:T12"/>
    <mergeCell ref="AA4:AB4"/>
    <mergeCell ref="B5:I5"/>
    <mergeCell ref="J5:T5"/>
    <mergeCell ref="B6:I6"/>
    <mergeCell ref="J6:T6"/>
    <mergeCell ref="B7:I7"/>
    <mergeCell ref="J7:T7"/>
    <mergeCell ref="B18:J18"/>
    <mergeCell ref="K18:T18"/>
    <mergeCell ref="B19:J19"/>
    <mergeCell ref="K19:T19"/>
    <mergeCell ref="B20:J20"/>
    <mergeCell ref="K20:T20"/>
    <mergeCell ref="B16:J16"/>
    <mergeCell ref="K16:T16"/>
    <mergeCell ref="B17:J17"/>
    <mergeCell ref="K17:T17"/>
    <mergeCell ref="D28:J28"/>
    <mergeCell ref="L28:M28"/>
    <mergeCell ref="N28:T28"/>
    <mergeCell ref="D29:J29"/>
    <mergeCell ref="L29:M29"/>
    <mergeCell ref="N29:T29"/>
    <mergeCell ref="D24:J24"/>
    <mergeCell ref="L24:M24"/>
    <mergeCell ref="N24:T24"/>
    <mergeCell ref="D25:J25"/>
    <mergeCell ref="L25:M25"/>
    <mergeCell ref="N25:T25"/>
    <mergeCell ref="B35:H35"/>
    <mergeCell ref="I35:J35"/>
    <mergeCell ref="L35:T35"/>
    <mergeCell ref="B36:H36"/>
    <mergeCell ref="I36:J36"/>
    <mergeCell ref="L36:T36"/>
    <mergeCell ref="B32:F32"/>
    <mergeCell ref="G32:J32"/>
    <mergeCell ref="L32:P32"/>
    <mergeCell ref="Q32:T32"/>
    <mergeCell ref="B33:F33"/>
    <mergeCell ref="G33:J33"/>
    <mergeCell ref="L33:T33"/>
    <mergeCell ref="B43:K43"/>
    <mergeCell ref="L43:T43"/>
    <mergeCell ref="B44:K44"/>
    <mergeCell ref="L44:T44"/>
    <mergeCell ref="B45:K45"/>
    <mergeCell ref="L45:T45"/>
    <mergeCell ref="B40:K40"/>
    <mergeCell ref="L40:T40"/>
    <mergeCell ref="B41:K41"/>
    <mergeCell ref="L41:T41"/>
    <mergeCell ref="B42:K42"/>
    <mergeCell ref="L42:T42"/>
    <mergeCell ref="B50:H50"/>
    <mergeCell ref="I50:K50"/>
    <mergeCell ref="L50:M50"/>
    <mergeCell ref="N50:T50"/>
    <mergeCell ref="N51:T51"/>
    <mergeCell ref="L51:M51"/>
    <mergeCell ref="I51:K51"/>
    <mergeCell ref="B51:H51"/>
    <mergeCell ref="B46:K46"/>
    <mergeCell ref="L46:T46"/>
    <mergeCell ref="B47:E47"/>
    <mergeCell ref="F47:J47"/>
    <mergeCell ref="B49:H49"/>
    <mergeCell ref="I49:K49"/>
    <mergeCell ref="L49:M49"/>
    <mergeCell ref="N49:T49"/>
    <mergeCell ref="B54:H54"/>
    <mergeCell ref="I54:K54"/>
    <mergeCell ref="L54:M54"/>
    <mergeCell ref="N54:T54"/>
    <mergeCell ref="B55:H55"/>
    <mergeCell ref="I55:K55"/>
    <mergeCell ref="L55:M55"/>
    <mergeCell ref="N55:T55"/>
    <mergeCell ref="B52:H52"/>
    <mergeCell ref="I52:K52"/>
    <mergeCell ref="L52:M52"/>
    <mergeCell ref="N52:T52"/>
    <mergeCell ref="B53:H53"/>
    <mergeCell ref="I53:K53"/>
    <mergeCell ref="L53:M53"/>
    <mergeCell ref="N53:T53"/>
    <mergeCell ref="B62:L62"/>
    <mergeCell ref="M62:O62"/>
    <mergeCell ref="P62:T62"/>
    <mergeCell ref="B63:L63"/>
    <mergeCell ref="M63:O63"/>
    <mergeCell ref="P63:T63"/>
    <mergeCell ref="B56:H56"/>
    <mergeCell ref="I56:K56"/>
    <mergeCell ref="L56:M56"/>
    <mergeCell ref="N56:T56"/>
    <mergeCell ref="B61:L61"/>
    <mergeCell ref="M61:O61"/>
    <mergeCell ref="P61:T61"/>
    <mergeCell ref="B66:L66"/>
    <mergeCell ref="M66:O66"/>
    <mergeCell ref="P66:T66"/>
    <mergeCell ref="B67:L67"/>
    <mergeCell ref="M67:O67"/>
    <mergeCell ref="P67:T67"/>
    <mergeCell ref="B64:L64"/>
    <mergeCell ref="M64:O64"/>
    <mergeCell ref="P64:T64"/>
    <mergeCell ref="B65:L65"/>
    <mergeCell ref="M65:O65"/>
    <mergeCell ref="P65:T65"/>
    <mergeCell ref="B72:T72"/>
    <mergeCell ref="B73:L73"/>
    <mergeCell ref="M73:O73"/>
    <mergeCell ref="P73:T73"/>
    <mergeCell ref="B74:L74"/>
    <mergeCell ref="M74:O74"/>
    <mergeCell ref="P74:T74"/>
    <mergeCell ref="B68:L68"/>
    <mergeCell ref="M68:O68"/>
    <mergeCell ref="P68:T68"/>
    <mergeCell ref="B69:L69"/>
    <mergeCell ref="M69:O69"/>
    <mergeCell ref="P69:T69"/>
    <mergeCell ref="B77:L77"/>
    <mergeCell ref="M77:O77"/>
    <mergeCell ref="P77:T77"/>
    <mergeCell ref="B78:L78"/>
    <mergeCell ref="M78:O78"/>
    <mergeCell ref="P78:T78"/>
    <mergeCell ref="B75:L75"/>
    <mergeCell ref="M75:O75"/>
    <mergeCell ref="P75:T75"/>
    <mergeCell ref="B76:L76"/>
    <mergeCell ref="M76:O76"/>
    <mergeCell ref="P76:T76"/>
    <mergeCell ref="B81:L81"/>
    <mergeCell ref="M81:O81"/>
    <mergeCell ref="P81:T81"/>
    <mergeCell ref="B82:L82"/>
    <mergeCell ref="M82:O82"/>
    <mergeCell ref="P82:T82"/>
    <mergeCell ref="B79:L79"/>
    <mergeCell ref="M79:O79"/>
    <mergeCell ref="P79:T79"/>
    <mergeCell ref="B80:L80"/>
    <mergeCell ref="M80:O80"/>
    <mergeCell ref="P80:T80"/>
    <mergeCell ref="B87:T88"/>
    <mergeCell ref="B89:L89"/>
    <mergeCell ref="M89:O89"/>
    <mergeCell ref="P89:T89"/>
    <mergeCell ref="B90:L90"/>
    <mergeCell ref="M90:O90"/>
    <mergeCell ref="P90:T90"/>
    <mergeCell ref="B83:L83"/>
    <mergeCell ref="M83:O83"/>
    <mergeCell ref="P83:T83"/>
    <mergeCell ref="B84:L84"/>
    <mergeCell ref="M84:O84"/>
    <mergeCell ref="P84:T84"/>
    <mergeCell ref="B93:L93"/>
    <mergeCell ref="M93:O93"/>
    <mergeCell ref="P93:T93"/>
    <mergeCell ref="B94:L94"/>
    <mergeCell ref="M94:O94"/>
    <mergeCell ref="P94:T94"/>
    <mergeCell ref="B91:L91"/>
    <mergeCell ref="M91:O91"/>
    <mergeCell ref="P91:T91"/>
    <mergeCell ref="B92:L92"/>
    <mergeCell ref="M92:O92"/>
    <mergeCell ref="P92:T92"/>
    <mergeCell ref="B99:T99"/>
    <mergeCell ref="B100:L100"/>
    <mergeCell ref="M100:O100"/>
    <mergeCell ref="P100:T100"/>
    <mergeCell ref="B101:L101"/>
    <mergeCell ref="M101:O101"/>
    <mergeCell ref="P101:T101"/>
    <mergeCell ref="B95:L95"/>
    <mergeCell ref="M95:O95"/>
    <mergeCell ref="P95:T95"/>
    <mergeCell ref="B96:L96"/>
    <mergeCell ref="M96:O96"/>
    <mergeCell ref="P96:T96"/>
    <mergeCell ref="B104:L104"/>
    <mergeCell ref="M104:O104"/>
    <mergeCell ref="P104:T104"/>
    <mergeCell ref="B105:L105"/>
    <mergeCell ref="M105:O105"/>
    <mergeCell ref="P105:T105"/>
    <mergeCell ref="B102:L102"/>
    <mergeCell ref="M102:O102"/>
    <mergeCell ref="P102:T102"/>
    <mergeCell ref="B103:L103"/>
    <mergeCell ref="M103:O103"/>
    <mergeCell ref="P103:T103"/>
    <mergeCell ref="B108:L108"/>
    <mergeCell ref="M108:O108"/>
    <mergeCell ref="P108:T108"/>
    <mergeCell ref="B111:H111"/>
    <mergeCell ref="I111:L111"/>
    <mergeCell ref="M111:P111"/>
    <mergeCell ref="Q111:T111"/>
    <mergeCell ref="B106:L106"/>
    <mergeCell ref="M106:O106"/>
    <mergeCell ref="P106:T106"/>
    <mergeCell ref="B107:L107"/>
    <mergeCell ref="M107:O107"/>
    <mergeCell ref="P107:T107"/>
    <mergeCell ref="B157:G157"/>
    <mergeCell ref="H157:L157"/>
    <mergeCell ref="M157:P157"/>
    <mergeCell ref="Q157:T157"/>
    <mergeCell ref="B140:T140"/>
    <mergeCell ref="B141:T152"/>
    <mergeCell ref="B156:G156"/>
    <mergeCell ref="H156:L156"/>
    <mergeCell ref="M156:P156"/>
    <mergeCell ref="Q156:T156"/>
    <mergeCell ref="B114:H114"/>
    <mergeCell ref="I114:L114"/>
    <mergeCell ref="M114:P114"/>
    <mergeCell ref="Q114:T114"/>
    <mergeCell ref="B121:T121"/>
    <mergeCell ref="B122:T138"/>
    <mergeCell ref="B112:H112"/>
    <mergeCell ref="I112:L112"/>
    <mergeCell ref="M112:P112"/>
    <mergeCell ref="Q112:T112"/>
    <mergeCell ref="B113:H113"/>
    <mergeCell ref="I113:L113"/>
    <mergeCell ref="M113:P113"/>
    <mergeCell ref="Q113:T113"/>
  </mergeCells>
  <conditionalFormatting sqref="B40:B46">
    <cfRule type="notContainsBlanks" dxfId="31" priority="34">
      <formula>LEN(TRIM(B40))&gt;0</formula>
    </cfRule>
  </conditionalFormatting>
  <conditionalFormatting sqref="D24:J25">
    <cfRule type="containsBlanks" dxfId="30" priority="15">
      <formula>LEN(TRIM(D24))=0</formula>
    </cfRule>
  </conditionalFormatting>
  <conditionalFormatting sqref="D28:J29">
    <cfRule type="containsBlanks" dxfId="29" priority="2">
      <formula>LEN(TRIM(D28))=0</formula>
    </cfRule>
  </conditionalFormatting>
  <conditionalFormatting sqref="G32:J33">
    <cfRule type="containsBlanks" dxfId="28" priority="11">
      <formula>LEN(TRIM(G32))=0</formula>
    </cfRule>
  </conditionalFormatting>
  <conditionalFormatting sqref="G10:T10">
    <cfRule type="containsBlanks" dxfId="27" priority="18">
      <formula>LEN(TRIM(G10))=0</formula>
    </cfRule>
  </conditionalFormatting>
  <conditionalFormatting sqref="G11:T12">
    <cfRule type="containsBlanks" dxfId="26" priority="29">
      <formula>LEN(TRIM(G11))=0</formula>
    </cfRule>
  </conditionalFormatting>
  <conditionalFormatting sqref="I35:I36">
    <cfRule type="containsBlanks" dxfId="25" priority="7">
      <formula>LEN(TRIM(I35))=0</formula>
    </cfRule>
  </conditionalFormatting>
  <conditionalFormatting sqref="J5:T5">
    <cfRule type="containsText" dxfId="24" priority="33" operator="containsText" text="Nome do Cliente">
      <formula>NOT(ISERROR(SEARCH("Nome do Cliente",J5)))</formula>
    </cfRule>
  </conditionalFormatting>
  <conditionalFormatting sqref="J5:T7">
    <cfRule type="containsBlanks" dxfId="23" priority="31">
      <formula>LEN(TRIM(J5))=0</formula>
    </cfRule>
  </conditionalFormatting>
  <conditionalFormatting sqref="J6:T6">
    <cfRule type="containsText" dxfId="22" priority="32" operator="containsText" text="01/01/2023">
      <formula>NOT(ISERROR(SEARCH("01/01/2023",J6)))</formula>
    </cfRule>
  </conditionalFormatting>
  <conditionalFormatting sqref="J7:T7">
    <cfRule type="containsText" dxfId="21" priority="30" operator="containsText" text="Nome do solicitante">
      <formula>NOT(ISERROR(SEARCH("Nome do solicitante",J7)))</formula>
    </cfRule>
  </conditionalFormatting>
  <conditionalFormatting sqref="L39">
    <cfRule type="notContainsBlanks" dxfId="20" priority="36">
      <formula>LEN(TRIM(L39))&gt;0</formula>
    </cfRule>
  </conditionalFormatting>
  <conditionalFormatting sqref="L33:T33">
    <cfRule type="beginsWith" dxfId="18" priority="8" operator="beginsWith" text="ABORTAR">
      <formula>LEFT(L33,LEN("ABORTAR"))="ABORTAR"</formula>
    </cfRule>
    <cfRule type="beginsWith" dxfId="17" priority="9" operator="beginsWith" text="Print">
      <formula>LEFT(L33,LEN("Print"))="Print"</formula>
    </cfRule>
    <cfRule type="beginsWith" dxfId="16" priority="10" operator="beginsWith" text="ALERTA">
      <formula>LEFT(L33,LEN("ALERTA"))="ALERTA"</formula>
    </cfRule>
  </conditionalFormatting>
  <conditionalFormatting sqref="L35:T36">
    <cfRule type="beginsWith" dxfId="15" priority="4" operator="beginsWith" text="ABORTAR">
      <formula>LEFT(L35,LEN("ABORTAR"))="ABORTAR"</formula>
    </cfRule>
    <cfRule type="beginsWith" dxfId="14" priority="5" operator="beginsWith" text="Print">
      <formula>LEFT(L35,LEN("Print"))="Print"</formula>
    </cfRule>
    <cfRule type="beginsWith" dxfId="13" priority="6" operator="beginsWith" text="ALERTA">
      <formula>LEFT(L35,LEN("ALERTA"))="ALERTA"</formula>
    </cfRule>
  </conditionalFormatting>
  <conditionalFormatting sqref="L40:T40">
    <cfRule type="expression" dxfId="12" priority="28">
      <formula>$B$40&lt;&gt;""</formula>
    </cfRule>
    <cfRule type="expression" dxfId="11" priority="27">
      <formula>AND($B$40&lt;&gt;"",$L$40="")</formula>
    </cfRule>
  </conditionalFormatting>
  <conditionalFormatting sqref="L41:T41">
    <cfRule type="expression" dxfId="10" priority="26">
      <formula>AND($B$41&lt;&gt;"",$L$41="")</formula>
    </cfRule>
  </conditionalFormatting>
  <conditionalFormatting sqref="L41:T46">
    <cfRule type="notContainsBlanks" dxfId="9" priority="20">
      <formula>LEN(TRIM(L41))&gt;0</formula>
    </cfRule>
  </conditionalFormatting>
  <conditionalFormatting sqref="L42:T42">
    <cfRule type="expression" dxfId="8" priority="25">
      <formula>AND($B$42&lt;&gt;"",$L$42="")</formula>
    </cfRule>
  </conditionalFormatting>
  <conditionalFormatting sqref="L43:T43">
    <cfRule type="expression" dxfId="7" priority="24">
      <formula>AND($B$43&lt;&gt;"",$L$43="")</formula>
    </cfRule>
  </conditionalFormatting>
  <conditionalFormatting sqref="L44:T44">
    <cfRule type="expression" dxfId="6" priority="23">
      <formula>AND($B$44&lt;&gt;"",$L$44="")</formula>
    </cfRule>
  </conditionalFormatting>
  <conditionalFormatting sqref="L45:T45">
    <cfRule type="expression" dxfId="5" priority="22">
      <formula>AND($B$45&lt;&gt;"",$L$45="")</formula>
    </cfRule>
  </conditionalFormatting>
  <conditionalFormatting sqref="L46:T46">
    <cfRule type="expression" dxfId="4" priority="21">
      <formula>AND($B$46&lt;&gt;"",$L$46="")</formula>
    </cfRule>
  </conditionalFormatting>
  <conditionalFormatting sqref="N24:T25">
    <cfRule type="containsBlanks" dxfId="3" priority="17">
      <formula>LEN(TRIM(N24))=0</formula>
    </cfRule>
  </conditionalFormatting>
  <conditionalFormatting sqref="N28:T29">
    <cfRule type="containsBlanks" dxfId="2" priority="1">
      <formula>LEN(TRIM(N28))=0</formula>
    </cfRule>
  </conditionalFormatting>
  <conditionalFormatting sqref="Q32:T32">
    <cfRule type="containsBlanks" dxfId="1" priority="12">
      <formula>LEN(TRIM(Q32))=0</formula>
    </cfRule>
  </conditionalFormatting>
  <conditionalFormatting sqref="Q157:T157">
    <cfRule type="containsBlanks" dxfId="0" priority="19">
      <formula>LEN(TRIM(Q157))=0</formula>
    </cfRule>
  </conditionalFormatting>
  <dataValidations count="9">
    <dataValidation type="list" allowBlank="1" showInputMessage="1" showErrorMessage="1" sqref="I33:I36 S37:S38 G33:H34 J33:J34 I38 M74:O84" xr:uid="{18CDE44E-D5B6-46CB-88C8-487BCEE6A60A}">
      <formula1>"SIM,NÃO"</formula1>
    </dataValidation>
    <dataValidation type="list" allowBlank="1" showInputMessage="1" showErrorMessage="1" sqref="G11" xr:uid="{83323B47-F34B-4331-9967-CF3C73690FDC}">
      <formula1>"PROGRAMADA,EMERGENCIAL"</formula1>
    </dataValidation>
    <dataValidation type="list" allowBlank="1" showInputMessage="1" showErrorMessage="1" sqref="I50:K56" xr:uid="{8476B1E7-4E5F-4C97-88B7-648F8D2464E6}">
      <formula1>"ALTA,MÉDIA,BAIXA"</formula1>
    </dataValidation>
    <dataValidation type="list" allowBlank="1" showInputMessage="1" showErrorMessage="1" sqref="L50:M56" xr:uid="{D493A2AB-AA78-42E4-B7C6-E2A09DEB3E18}">
      <formula1>"ALTO,MÉDIO,BAIXO"</formula1>
    </dataValidation>
    <dataValidation type="list" allowBlank="1" showInputMessage="1" showErrorMessage="1" sqref="M62:O70" xr:uid="{0BAE2162-F5F5-433C-836A-6DD6CCD5471D}">
      <formula1>"NECESSÁRIO,OBRIGATÓRIO"</formula1>
    </dataValidation>
    <dataValidation type="list" allowBlank="1" showInputMessage="1" showErrorMessage="1" sqref="Q157:T157" xr:uid="{022038CB-5F5B-49FF-B6F6-E3F8A0BF270B}">
      <formula1>"APROVADO,REPROVADO"</formula1>
    </dataValidation>
    <dataValidation type="list" allowBlank="1" showInputMessage="1" showErrorMessage="1" sqref="G32:J32" xr:uid="{889D3C76-14C1-47D3-97DB-B6171838E468}">
      <formula1>"PRODUÇÃO,HOMOLOGAÇÃO,TESTES,TREINAMENTO,DESENVOLVIMENTO"</formula1>
    </dataValidation>
    <dataValidation type="list" allowBlank="1" showInputMessage="1" showErrorMessage="1" sqref="Q32:T32" xr:uid="{2D78CFA6-4922-4B5A-8A34-47E0ED09E26B}">
      <formula1>"WINDOWS,LINUX,WINDOWS &amp; LINUX"</formula1>
    </dataValidation>
    <dataValidation type="list" allowBlank="1" showInputMessage="1" showErrorMessage="1" sqref="B157:G157" xr:uid="{72C72BE6-1809-4FFB-9BD4-F0CA66F5142C}">
      <formula1>"Wilson Kempim Jr."</formula1>
    </dataValidation>
  </dataValidations>
  <pageMargins left="0.25" right="0.25" top="0.75" bottom="0.75" header="0.3" footer="0.3"/>
  <pageSetup paperSize="5" orientation="portrait" r:id="rId1"/>
  <headerFooter differentFirst="1">
    <oddHeader>&amp;L&amp;G</oddHeader>
    <oddFooter>&amp;RPágina &amp;P de &amp;N</oddFooter>
    <firstHeader>&amp;L&amp;G</firstHeader>
    <firstFooter>&amp;RPágina &amp;P de &amp;N</first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71045C9A-219D-4E5B-9EF7-BA2B85BEF979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0"/>
              <x14:cfIcon iconSet="3Signs" iconId="1"/>
              <x14:cfIcon iconSet="3TrafficLights1" iconId="2"/>
            </x14:iconSet>
          </x14:cfRule>
          <xm:sqref>K32</xm:sqref>
        </x14:conditionalFormatting>
        <x14:conditionalFormatting xmlns:xm="http://schemas.microsoft.com/office/excel/2006/main">
          <x14:cfRule type="containsText" priority="35" operator="containsText" id="{C1D62EB8-0A74-4B7A-8F6D-D7A31A815B80}">
            <xm:f>NOT(ISERROR(SEARCH("Risco de perda de dados sem o flashback!",L39)))</xm:f>
            <xm:f>"Risco de perda de dados sem o flashback!"</xm:f>
            <x14:dxf>
              <font>
                <b/>
                <i val="0"/>
                <color theme="5" tint="-0.24994659260841701"/>
              </font>
            </x14:dxf>
          </x14:cfRule>
          <xm:sqref>L39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A9890B-7896-4CAB-A982-4EF38F129EDF}">
          <x14:formula1>
            <xm:f>#REF!</xm:f>
          </x14:formula1>
          <xm:sqref>D28:J28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e04242-0498-4b07-9e35-916046385607" xsi:nil="true"/>
    <lcf76f155ced4ddcb4097134ff3c332f xmlns="5c179f72-a880-41e1-9a8c-045ed5d7f041">
      <Terms xmlns="http://schemas.microsoft.com/office/infopath/2007/PartnerControls"/>
    </lcf76f155ced4ddcb4097134ff3c332f>
    <SharedWithUsers xmlns="5ee04242-0498-4b07-9e35-916046385607">
      <UserInfo>
        <DisplayName>Arthur Raphael Bittencurt</DisplayName>
        <AccountId>12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7BECFA79EF2F44B55B34B8B01B50F4" ma:contentTypeVersion="13" ma:contentTypeDescription="Crie um novo documento." ma:contentTypeScope="" ma:versionID="ba71b62b3ad363629e4ea53a9bae0b90">
  <xsd:schema xmlns:xsd="http://www.w3.org/2001/XMLSchema" xmlns:xs="http://www.w3.org/2001/XMLSchema" xmlns:p="http://schemas.microsoft.com/office/2006/metadata/properties" xmlns:ns2="5ee04242-0498-4b07-9e35-916046385607" xmlns:ns3="5c179f72-a880-41e1-9a8c-045ed5d7f041" targetNamespace="http://schemas.microsoft.com/office/2006/metadata/properties" ma:root="true" ma:fieldsID="c27cf90a7164d1dc5d4b77e1f6fc7a6f" ns2:_="" ns3:_="">
    <xsd:import namespace="5ee04242-0498-4b07-9e35-916046385607"/>
    <xsd:import namespace="5c179f72-a880-41e1-9a8c-045ed5d7f0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e04242-0498-4b07-9e35-9160463856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e045cac-3cfc-4cc9-a0c6-3add68b8a9cc}" ma:internalName="TaxCatchAll" ma:showField="CatchAllData" ma:web="5ee04242-0498-4b07-9e35-9160463856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79f72-a880-41e1-9a8c-045ed5d7f0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e5f7ed6-18d6-4609-bce9-e2d1895562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6AEE7A-E1BC-43A0-AF06-9C0C5E1762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7CF766-A8FB-4C18-B2A7-3E9FEE090AA0}">
  <ds:schemaRefs>
    <ds:schemaRef ds:uri="http://schemas.microsoft.com/office/2006/metadata/properties"/>
    <ds:schemaRef ds:uri="http://schemas.microsoft.com/office/infopath/2007/PartnerControls"/>
    <ds:schemaRef ds:uri="5ee04242-0498-4b07-9e35-916046385607"/>
    <ds:schemaRef ds:uri="5c179f72-a880-41e1-9a8c-045ed5d7f041"/>
  </ds:schemaRefs>
</ds:datastoreItem>
</file>

<file path=customXml/itemProps3.xml><?xml version="1.0" encoding="utf-8"?>
<ds:datastoreItem xmlns:ds="http://schemas.openxmlformats.org/officeDocument/2006/customXml" ds:itemID="{01AC9353-A2FC-48FE-ABFE-5E32C7D23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e04242-0498-4b07-9e35-916046385607"/>
    <ds:schemaRef ds:uri="5c179f72-a880-41e1-9a8c-045ed5d7f0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9efec96-ec61-4270-a575-7f6ebead4259}" enabled="0" method="" siteId="{f9efec96-ec61-4270-a575-7f6ebead42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GC Tomcat - WSI</vt:lpstr>
      <vt:lpstr>Atualização TASY</vt:lpstr>
      <vt:lpstr>Atualização TASY - Emergencial </vt:lpstr>
      <vt:lpstr>Atualização Certificado TIE</vt:lpstr>
      <vt:lpstr>Atualização Tomcat 9</vt:lpstr>
      <vt:lpstr>Atualização Tomcat Tasy Interfa</vt:lpstr>
      <vt:lpstr>Versão App Manager - Mesmo Tema</vt:lpstr>
      <vt:lpstr>Recurso OCI</vt:lpstr>
      <vt:lpstr>Versão App Manager - Novo tema</vt:lpstr>
      <vt:lpstr>Troca Certificado SSL</vt:lpstr>
      <vt:lpstr>Reinicialização de aplicações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Juliano Saueressig</dc:creator>
  <cp:keywords/>
  <dc:description/>
  <cp:lastModifiedBy>Luigi Raupp Martins</cp:lastModifiedBy>
  <cp:revision/>
  <dcterms:created xsi:type="dcterms:W3CDTF">2023-02-09T17:49:41Z</dcterms:created>
  <dcterms:modified xsi:type="dcterms:W3CDTF">2026-08-25T14:18:34Z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0x010100F87BECFA79EF2F44B55B34B8B01B50F4</vt:lpwstr>
  </property>
  <property fmtid="{D5CDD505-2E9C-101B-9397-08002B2CF9AE}" pid="3" name="MediaServiceImageTags">
    <vt:lpwstr/>
  </property>
</Properties>
</file>